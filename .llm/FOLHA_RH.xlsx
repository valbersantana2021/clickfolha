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Consultoria\Contabilidade\Fortes\"/>
    </mc:Choice>
  </mc:AlternateContent>
  <xr:revisionPtr revIDLastSave="0" documentId="13_ncr:1_{AD297B8D-D485-4BAE-9BF9-3DEEA8E9F18D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Hora extra" sheetId="1" r:id="rId1"/>
    <sheet name="Comissão Salao" sheetId="2" r:id="rId2"/>
    <sheet name="Comissão Cozinha" sheetId="3" r:id="rId3"/>
    <sheet name="base" sheetId="6" r:id="rId4"/>
  </sheets>
  <definedNames>
    <definedName name="_xlnm._FilterDatabase" localSheetId="2" hidden="1">'Comissão Cozinha'!$A$5:$I$48</definedName>
    <definedName name="_xlnm._FilterDatabase" localSheetId="1" hidden="1">'Comissão Salao'!$A$5:$H$57</definedName>
    <definedName name="_xlnm._FilterDatabase" localSheetId="0" hidden="1">'Hora extra'!$A$2:$O$85</definedName>
    <definedName name="colaborador">base!$A:$B</definedName>
    <definedName name="_xlnm.Print_Area" localSheetId="2">'Comissão Cozinha'!$A$1:$F$51</definedName>
    <definedName name="_xlnm.Print_Area" localSheetId="1">'Comissão Salao'!$A$1:$F$60</definedName>
    <definedName name="_xlnm.Print_Area" localSheetId="0">'Hora extra'!$A$1:$G$85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3" l="1"/>
  <c r="B46" i="3"/>
  <c r="B45" i="3"/>
  <c r="B42" i="3"/>
  <c r="B41" i="3"/>
  <c r="B40" i="3"/>
  <c r="B39" i="3"/>
  <c r="B38" i="3"/>
  <c r="B37" i="3"/>
  <c r="B36" i="3"/>
  <c r="B35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0" i="3"/>
  <c r="B9" i="3"/>
  <c r="B8" i="3"/>
  <c r="B7" i="3"/>
  <c r="B56" i="2"/>
  <c r="B55" i="2"/>
  <c r="B54" i="2"/>
  <c r="B52" i="2"/>
  <c r="B51" i="2"/>
  <c r="B49" i="2"/>
  <c r="B48" i="2"/>
  <c r="B47" i="2"/>
  <c r="B45" i="2"/>
  <c r="B44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1" i="2"/>
  <c r="B20" i="2"/>
  <c r="B8" i="2"/>
  <c r="B9" i="2"/>
  <c r="B10" i="2"/>
  <c r="B11" i="2"/>
  <c r="B12" i="2"/>
  <c r="B13" i="2"/>
  <c r="B14" i="2"/>
  <c r="B15" i="2"/>
  <c r="B16" i="2"/>
  <c r="B17" i="2"/>
  <c r="B18" i="2"/>
  <c r="B7" i="2"/>
  <c r="O82" i="1"/>
  <c r="N82" i="1"/>
  <c r="M82" i="1"/>
  <c r="L82" i="1"/>
  <c r="O44" i="1"/>
  <c r="N44" i="1"/>
  <c r="M44" i="1"/>
  <c r="L44" i="1"/>
  <c r="O84" i="1"/>
  <c r="N84" i="1"/>
  <c r="M84" i="1"/>
  <c r="L84" i="1"/>
  <c r="O15" i="1"/>
  <c r="N15" i="1"/>
  <c r="M15" i="1"/>
  <c r="L15" i="1"/>
  <c r="O64" i="1"/>
  <c r="N64" i="1"/>
  <c r="M64" i="1"/>
  <c r="L64" i="1"/>
  <c r="O40" i="1"/>
  <c r="N40" i="1"/>
  <c r="M40" i="1"/>
  <c r="L40" i="1"/>
  <c r="O49" i="1"/>
  <c r="N49" i="1"/>
  <c r="M49" i="1"/>
  <c r="L49" i="1"/>
  <c r="O16" i="1"/>
  <c r="N16" i="1"/>
  <c r="M16" i="1"/>
  <c r="L16" i="1"/>
  <c r="O55" i="1"/>
  <c r="N55" i="1"/>
  <c r="M55" i="1"/>
  <c r="L55" i="1"/>
  <c r="O62" i="1"/>
  <c r="N62" i="1"/>
  <c r="M62" i="1"/>
  <c r="L62" i="1"/>
  <c r="O61" i="1"/>
  <c r="N61" i="1"/>
  <c r="M61" i="1"/>
  <c r="L61" i="1"/>
  <c r="O26" i="1"/>
  <c r="N26" i="1"/>
  <c r="M26" i="1"/>
  <c r="L26" i="1"/>
  <c r="O85" i="1"/>
  <c r="N85" i="1"/>
  <c r="M85" i="1"/>
  <c r="L85" i="1"/>
  <c r="O83" i="1"/>
  <c r="N83" i="1"/>
  <c r="M83" i="1"/>
  <c r="L83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L3" i="1"/>
  <c r="L65" i="1" l="1"/>
  <c r="M65" i="1"/>
  <c r="N65" i="1"/>
  <c r="O65" i="1"/>
  <c r="L12" i="1" l="1"/>
  <c r="M12" i="1"/>
  <c r="N12" i="1"/>
  <c r="O12" i="1"/>
  <c r="L46" i="1"/>
  <c r="M46" i="1"/>
  <c r="N46" i="1"/>
  <c r="O46" i="1"/>
  <c r="L35" i="1"/>
  <c r="M35" i="1"/>
  <c r="N35" i="1"/>
  <c r="O35" i="1"/>
  <c r="L18" i="1"/>
  <c r="M18" i="1"/>
  <c r="N18" i="1"/>
  <c r="O18" i="1"/>
  <c r="L19" i="1"/>
  <c r="M19" i="1"/>
  <c r="N19" i="1"/>
  <c r="O19" i="1"/>
  <c r="L51" i="1"/>
  <c r="M51" i="1"/>
  <c r="N51" i="1"/>
  <c r="O51" i="1"/>
  <c r="L50" i="1"/>
  <c r="M50" i="1"/>
  <c r="N50" i="1"/>
  <c r="O50" i="1"/>
  <c r="L41" i="1"/>
  <c r="M41" i="1"/>
  <c r="N41" i="1"/>
  <c r="O41" i="1"/>
  <c r="L11" i="1"/>
  <c r="M11" i="1"/>
  <c r="N11" i="1"/>
  <c r="O11" i="1"/>
  <c r="L53" i="1"/>
  <c r="M53" i="1"/>
  <c r="N53" i="1"/>
  <c r="O53" i="1"/>
  <c r="L57" i="1"/>
  <c r="M57" i="1"/>
  <c r="N57" i="1"/>
  <c r="O57" i="1"/>
  <c r="L10" i="1"/>
  <c r="M10" i="1"/>
  <c r="N10" i="1"/>
  <c r="O10" i="1"/>
  <c r="L36" i="1"/>
  <c r="M36" i="1"/>
  <c r="N36" i="1"/>
  <c r="O36" i="1"/>
  <c r="L47" i="1"/>
  <c r="M47" i="1"/>
  <c r="N47" i="1"/>
  <c r="O47" i="1"/>
  <c r="L39" i="1"/>
  <c r="M39" i="1"/>
  <c r="N39" i="1"/>
  <c r="O39" i="1"/>
  <c r="L29" i="1"/>
  <c r="M29" i="1"/>
  <c r="N29" i="1"/>
  <c r="O29" i="1"/>
  <c r="L63" i="1"/>
  <c r="M63" i="1"/>
  <c r="N63" i="1"/>
  <c r="O63" i="1"/>
  <c r="L59" i="1"/>
  <c r="M59" i="1"/>
  <c r="N59" i="1"/>
  <c r="O59" i="1"/>
  <c r="L34" i="1"/>
  <c r="M34" i="1"/>
  <c r="N34" i="1"/>
  <c r="O34" i="1"/>
  <c r="L52" i="1"/>
  <c r="M52" i="1"/>
  <c r="N52" i="1"/>
  <c r="O52" i="1"/>
  <c r="L31" i="1"/>
  <c r="M31" i="1"/>
  <c r="N31" i="1"/>
  <c r="O31" i="1"/>
  <c r="L25" i="1"/>
  <c r="M25" i="1"/>
  <c r="N25" i="1"/>
  <c r="O25" i="1"/>
  <c r="L54" i="1"/>
  <c r="M54" i="1"/>
  <c r="N54" i="1"/>
  <c r="O54" i="1"/>
  <c r="L33" i="1"/>
  <c r="M33" i="1"/>
  <c r="N33" i="1"/>
  <c r="O33" i="1"/>
  <c r="L37" i="1"/>
  <c r="M37" i="1"/>
  <c r="N37" i="1"/>
  <c r="O37" i="1"/>
  <c r="L38" i="1"/>
  <c r="M38" i="1"/>
  <c r="N38" i="1"/>
  <c r="O38" i="1"/>
  <c r="L56" i="1"/>
  <c r="M56" i="1"/>
  <c r="N56" i="1"/>
  <c r="O56" i="1"/>
  <c r="L48" i="1"/>
  <c r="M48" i="1"/>
  <c r="N48" i="1"/>
  <c r="O48" i="1"/>
  <c r="L7" i="1"/>
  <c r="M7" i="1"/>
  <c r="N7" i="1"/>
  <c r="O7" i="1"/>
  <c r="L8" i="1"/>
  <c r="M8" i="1"/>
  <c r="N8" i="1"/>
  <c r="O8" i="1"/>
  <c r="L32" i="1"/>
  <c r="M32" i="1"/>
  <c r="N32" i="1"/>
  <c r="O32" i="1"/>
  <c r="L9" i="1"/>
  <c r="M9" i="1"/>
  <c r="N9" i="1"/>
  <c r="O9" i="1"/>
  <c r="L6" i="1"/>
  <c r="M6" i="1"/>
  <c r="N6" i="1"/>
  <c r="O6" i="1"/>
  <c r="L43" i="1"/>
  <c r="M43" i="1"/>
  <c r="N43" i="1"/>
  <c r="O43" i="1"/>
  <c r="L23" i="1"/>
  <c r="M23" i="1"/>
  <c r="N23" i="1"/>
  <c r="O23" i="1"/>
  <c r="L21" i="1"/>
  <c r="M21" i="1"/>
  <c r="N21" i="1"/>
  <c r="O21" i="1"/>
  <c r="L27" i="1"/>
  <c r="M27" i="1"/>
  <c r="N27" i="1"/>
  <c r="O27" i="1"/>
  <c r="M3" i="1"/>
  <c r="N3" i="1"/>
  <c r="O3" i="1"/>
  <c r="L58" i="1"/>
  <c r="M58" i="1"/>
  <c r="N58" i="1"/>
  <c r="O58" i="1"/>
  <c r="L13" i="1"/>
  <c r="M13" i="1"/>
  <c r="N13" i="1"/>
  <c r="O13" i="1"/>
  <c r="L30" i="1"/>
  <c r="M30" i="1"/>
  <c r="N30" i="1"/>
  <c r="O30" i="1"/>
  <c r="L24" i="1"/>
  <c r="M24" i="1"/>
  <c r="N24" i="1"/>
  <c r="O24" i="1"/>
  <c r="L20" i="1"/>
  <c r="M20" i="1"/>
  <c r="N20" i="1"/>
  <c r="O20" i="1"/>
  <c r="L4" i="1"/>
  <c r="M4" i="1"/>
  <c r="N4" i="1"/>
  <c r="O4" i="1"/>
  <c r="L22" i="1"/>
  <c r="M22" i="1"/>
  <c r="N22" i="1"/>
  <c r="O22" i="1"/>
  <c r="L45" i="1"/>
  <c r="M45" i="1"/>
  <c r="N45" i="1"/>
  <c r="O45" i="1"/>
  <c r="L42" i="1"/>
  <c r="M42" i="1"/>
  <c r="N42" i="1"/>
  <c r="O42" i="1"/>
  <c r="L5" i="1"/>
  <c r="M5" i="1"/>
  <c r="N5" i="1"/>
  <c r="O5" i="1"/>
  <c r="L17" i="1"/>
  <c r="M17" i="1"/>
  <c r="N17" i="1"/>
  <c r="O17" i="1"/>
  <c r="L14" i="1"/>
  <c r="M14" i="1"/>
  <c r="N14" i="1"/>
  <c r="O14" i="1"/>
  <c r="L60" i="1"/>
  <c r="M60" i="1"/>
  <c r="N60" i="1"/>
  <c r="O60" i="1"/>
  <c r="L28" i="1"/>
  <c r="M28" i="1"/>
  <c r="N28" i="1"/>
  <c r="O28" i="1"/>
  <c r="L1" i="1" l="1"/>
  <c r="N1" i="1"/>
  <c r="O1" i="1"/>
  <c r="M1" i="1"/>
  <c r="C3" i="3" l="1"/>
</calcChain>
</file>

<file path=xl/sharedStrings.xml><?xml version="1.0" encoding="utf-8"?>
<sst xmlns="http://schemas.openxmlformats.org/spreadsheetml/2006/main" count="852" uniqueCount="261">
  <si>
    <t xml:space="preserve"> REPASSE DO SERVIÇO PAGO PELO CLIENTE COZINHA</t>
  </si>
  <si>
    <t xml:space="preserve">                    DO PERÍODO  DE </t>
  </si>
  <si>
    <t>NUM. FUNC</t>
  </si>
  <si>
    <t>NOME/FUNÇÃO</t>
  </si>
  <si>
    <t>FUNÇÃO</t>
  </si>
  <si>
    <t>REG</t>
  </si>
  <si>
    <t>VALOR  A  PAGAR</t>
  </si>
  <si>
    <t xml:space="preserve"> REPASSE DO SERVIÇO PAGO PELO CLIENTE SALÃO</t>
  </si>
  <si>
    <t>Vales a descontar</t>
  </si>
  <si>
    <t>Codigo</t>
  </si>
  <si>
    <t>Nome</t>
  </si>
  <si>
    <t>HORAS  EXTRA NORMAL</t>
  </si>
  <si>
    <t>HORA EXTRA COM ADICIONAL NOTURNO</t>
  </si>
  <si>
    <t>SÓ ADICIONAL NOTURNO</t>
  </si>
  <si>
    <t>FERIADO</t>
  </si>
  <si>
    <t>Ver</t>
  </si>
  <si>
    <t>Gerente</t>
  </si>
  <si>
    <t>Chef</t>
  </si>
  <si>
    <t>Cozin4</t>
  </si>
  <si>
    <t>Churras2</t>
  </si>
  <si>
    <t>ComprasAux</t>
  </si>
  <si>
    <t>AuxServ1</t>
  </si>
  <si>
    <t>AuxServ2</t>
  </si>
  <si>
    <t>Garçon2</t>
  </si>
  <si>
    <t>Cozin1</t>
  </si>
  <si>
    <t>Saiu</t>
  </si>
  <si>
    <t>Férias</t>
  </si>
  <si>
    <t>Cumin3</t>
  </si>
  <si>
    <t>Cumin1.1</t>
  </si>
  <si>
    <t>Entrada</t>
  </si>
  <si>
    <t>Churras1</t>
  </si>
  <si>
    <t>Cumin2</t>
  </si>
  <si>
    <t>BarMenAux2</t>
  </si>
  <si>
    <t>Cozin5</t>
  </si>
  <si>
    <t>Cumin1</t>
  </si>
  <si>
    <t>AuxCoz2.1</t>
  </si>
  <si>
    <t>Cozin6</t>
  </si>
  <si>
    <t>AuxCoz4</t>
  </si>
  <si>
    <t>Chapeiro2.1</t>
  </si>
  <si>
    <t>BarMenAux</t>
  </si>
  <si>
    <t>Garçon3.1</t>
  </si>
  <si>
    <t>Garçon3</t>
  </si>
  <si>
    <t/>
  </si>
  <si>
    <t>GARÇONS</t>
  </si>
  <si>
    <t>BAR MEN Sr/Jr</t>
  </si>
  <si>
    <t>GERENTE/MAITRE/CHEFE</t>
  </si>
  <si>
    <t>CAIXA</t>
  </si>
  <si>
    <t>CHURRASQUEIRO</t>
  </si>
  <si>
    <t>COZINHA</t>
  </si>
  <si>
    <t>AUXILIAR DE SERVIÇO</t>
  </si>
  <si>
    <t>CHEFF</t>
  </si>
  <si>
    <t>Maitre1</t>
  </si>
  <si>
    <t>AuxCoz3</t>
  </si>
  <si>
    <t>Chapeiro2</t>
  </si>
  <si>
    <t>Recep</t>
  </si>
  <si>
    <t>Maitre1.1</t>
  </si>
  <si>
    <t>Maitre2</t>
  </si>
  <si>
    <t>BarMen</t>
  </si>
  <si>
    <t>Caixa Sr</t>
  </si>
  <si>
    <t>0hs 0min</t>
  </si>
  <si>
    <t>registro</t>
  </si>
  <si>
    <t>ChefSub 1</t>
  </si>
  <si>
    <t>VER</t>
  </si>
  <si>
    <t>CUMIN</t>
  </si>
  <si>
    <t>15hs 20min</t>
  </si>
  <si>
    <t>10hs 22min</t>
  </si>
  <si>
    <t>6hs 3min</t>
  </si>
  <si>
    <t>6hs 2min</t>
  </si>
  <si>
    <t>VER FÉRIAS  E SAIDAS</t>
  </si>
  <si>
    <t>Churras3.1</t>
  </si>
  <si>
    <t xml:space="preserve">VER  QUEM  ESTA DE FÉRIAS  OU  SAIU </t>
  </si>
  <si>
    <t>6hs 4min</t>
  </si>
  <si>
    <t>6hs 5min</t>
  </si>
  <si>
    <t>6hs 1min</t>
  </si>
  <si>
    <t>20hs 33min</t>
  </si>
  <si>
    <t>6hs 6min</t>
  </si>
  <si>
    <t>11hs 13min</t>
  </si>
  <si>
    <t>FÉRIAS</t>
  </si>
  <si>
    <t>7hs 0min</t>
  </si>
  <si>
    <t>20hs 25min</t>
  </si>
  <si>
    <t>16hs 13min</t>
  </si>
  <si>
    <t>18hs 20min</t>
  </si>
  <si>
    <t>12hs 30min</t>
  </si>
  <si>
    <t>férias</t>
  </si>
  <si>
    <t>11hs 58min</t>
  </si>
  <si>
    <t>5hs 5min</t>
  </si>
  <si>
    <t>18hs 40min</t>
  </si>
  <si>
    <t>12hs 39min</t>
  </si>
  <si>
    <t>8hs 5min</t>
  </si>
  <si>
    <t>24hs 57min</t>
  </si>
  <si>
    <t>6hs 31min</t>
  </si>
  <si>
    <t>1hs 30min</t>
  </si>
  <si>
    <t>14hs 20min</t>
  </si>
  <si>
    <t>14hs 47min</t>
  </si>
  <si>
    <t>16hs 15min</t>
  </si>
  <si>
    <t>19hs 27min</t>
  </si>
  <si>
    <t>16hs 7min</t>
  </si>
  <si>
    <t>26hs 19min</t>
  </si>
  <si>
    <t>29hs 32min</t>
  </si>
  <si>
    <t>13hs 14min</t>
  </si>
  <si>
    <t>31hs 14min</t>
  </si>
  <si>
    <t>3hs 45min</t>
  </si>
  <si>
    <t>2hs 50min</t>
  </si>
  <si>
    <t>15hs 10min</t>
  </si>
  <si>
    <t>9hs 40min</t>
  </si>
  <si>
    <t>13hs 33min</t>
  </si>
  <si>
    <t>14hs 13min</t>
  </si>
  <si>
    <t>9hs 57min</t>
  </si>
  <si>
    <t xml:space="preserve">  </t>
  </si>
  <si>
    <t>16hs 41min</t>
  </si>
  <si>
    <t>22hs 32min</t>
  </si>
  <si>
    <t>32hs 42min</t>
  </si>
  <si>
    <t>2hs 3min</t>
  </si>
  <si>
    <t>11hs 12min</t>
  </si>
  <si>
    <t>22hs 12min</t>
  </si>
  <si>
    <t>10hs 13min</t>
  </si>
  <si>
    <t>7hs 34min</t>
  </si>
  <si>
    <t>25hs 37min</t>
  </si>
  <si>
    <t>16hs 48min</t>
  </si>
  <si>
    <t>14hs 33min</t>
  </si>
  <si>
    <t>23hs 10min</t>
  </si>
  <si>
    <t>3hs 40min</t>
  </si>
  <si>
    <t>15hs 4min</t>
  </si>
  <si>
    <t>13hs 1min</t>
  </si>
  <si>
    <t>7hs 30min</t>
  </si>
  <si>
    <t>9hs 43min</t>
  </si>
  <si>
    <t>2hs 18min</t>
  </si>
  <si>
    <t>16hs 10min</t>
  </si>
  <si>
    <t>10hs 30min</t>
  </si>
  <si>
    <t>29hs 35min</t>
  </si>
  <si>
    <t>1hs 40min</t>
  </si>
  <si>
    <t>11hs 34min</t>
  </si>
  <si>
    <t>6hs 54min</t>
  </si>
  <si>
    <t>11hs 33min</t>
  </si>
  <si>
    <t>10hs 28min</t>
  </si>
  <si>
    <t>37hs 55min</t>
  </si>
  <si>
    <t>25hs 45min</t>
  </si>
  <si>
    <t>27hs 10min</t>
  </si>
  <si>
    <t>11hs 14min</t>
  </si>
  <si>
    <t>3hs 10min</t>
  </si>
  <si>
    <t>0hs 45min</t>
  </si>
  <si>
    <t>10hs 9min</t>
  </si>
  <si>
    <t>19hs 19min</t>
  </si>
  <si>
    <t>28hs 31min</t>
  </si>
  <si>
    <t>10hs 10min</t>
  </si>
  <si>
    <t>14hs 19min</t>
  </si>
  <si>
    <t>10hs 25min</t>
  </si>
  <si>
    <t>9hs 38min</t>
  </si>
  <si>
    <t>18hs 13min</t>
  </si>
  <si>
    <t>5hs 8min</t>
  </si>
  <si>
    <t>11hs 47min</t>
  </si>
  <si>
    <t>19hs 14min</t>
  </si>
  <si>
    <t>2hs 25min</t>
  </si>
  <si>
    <t>9hs 13min</t>
  </si>
  <si>
    <t>21hs 33min</t>
  </si>
  <si>
    <t>19hs 32min</t>
  </si>
  <si>
    <t>11hs 42min</t>
  </si>
  <si>
    <t>19hs 30min</t>
  </si>
  <si>
    <t>18hs 18min</t>
  </si>
  <si>
    <t>11hs 24min</t>
  </si>
  <si>
    <t>24hs 41min</t>
  </si>
  <si>
    <t>6hs 40min</t>
  </si>
  <si>
    <t>16hs 14min</t>
  </si>
  <si>
    <t>12hs 13min</t>
  </si>
  <si>
    <t>5hs 29min</t>
  </si>
  <si>
    <t>5hs 48min</t>
  </si>
  <si>
    <t>3hs 25min</t>
  </si>
  <si>
    <t>1hs 16min</t>
  </si>
  <si>
    <t>3hs 16min</t>
  </si>
  <si>
    <t>7hs 40min</t>
  </si>
  <si>
    <t>5hs 50min</t>
  </si>
  <si>
    <t>0hs 2min</t>
  </si>
  <si>
    <t>FÉRIAS 1/2MES</t>
  </si>
  <si>
    <t>férias 1/2 mês</t>
  </si>
  <si>
    <t>Churras4</t>
  </si>
  <si>
    <t>HORA   EXTRA 06 2026</t>
  </si>
  <si>
    <t>Leonardo Nunes</t>
  </si>
  <si>
    <t>Diego Amaral</t>
  </si>
  <si>
    <t>Joana Coelho</t>
  </si>
  <si>
    <t>Adriana Morais</t>
  </si>
  <si>
    <t>Renan de Barros</t>
  </si>
  <si>
    <t>Daniele Guimarães</t>
  </si>
  <si>
    <t>Murilo da Fonseca</t>
  </si>
  <si>
    <t>Francisca Martins</t>
  </si>
  <si>
    <t>Sônia de Paula</t>
  </si>
  <si>
    <t>Cláudio Filho</t>
  </si>
  <si>
    <t>Milena da Conceição</t>
  </si>
  <si>
    <t>Eduardo de Lima</t>
  </si>
  <si>
    <t>Rogério Campos</t>
  </si>
  <si>
    <t>Kauan Moreira</t>
  </si>
  <si>
    <t>Tatiane Santana</t>
  </si>
  <si>
    <t>Gilberto Correia</t>
  </si>
  <si>
    <t>Murilo Tavares</t>
  </si>
  <si>
    <t>Paula Mota</t>
  </si>
  <si>
    <t>Daiane Mota</t>
  </si>
  <si>
    <t>Daniel Júnior</t>
  </si>
  <si>
    <t>Caroline Duarte</t>
  </si>
  <si>
    <t>Flávia Neto</t>
  </si>
  <si>
    <t>Cláudio Bezerra</t>
  </si>
  <si>
    <t>Júlio Medeiros</t>
  </si>
  <si>
    <t>Sophia Gomes</t>
  </si>
  <si>
    <t>Thaís Alves</t>
  </si>
  <si>
    <t>Leonardo de Araújo</t>
  </si>
  <si>
    <t>Thiago Maria</t>
  </si>
  <si>
    <t>Ângela Cavalcante</t>
  </si>
  <si>
    <t>Nicolas Mendes</t>
  </si>
  <si>
    <t>Isabela de Barros</t>
  </si>
  <si>
    <t>Letícia Garcia</t>
  </si>
  <si>
    <t>Geovana de Andrade</t>
  </si>
  <si>
    <t>Emerson Medeiros</t>
  </si>
  <si>
    <t>Bianca de Brito</t>
  </si>
  <si>
    <t>Luan da Rosa</t>
  </si>
  <si>
    <t>Valentina Machado</t>
  </si>
  <si>
    <t>Vitória Corrêa</t>
  </si>
  <si>
    <t>Diogo Ramos</t>
  </si>
  <si>
    <t>Sabrina de Paula</t>
  </si>
  <si>
    <t>Jorge de Moura</t>
  </si>
  <si>
    <t>Marcos Siqueira</t>
  </si>
  <si>
    <t>Robson da Rosa</t>
  </si>
  <si>
    <t>Débora Cavalcante</t>
  </si>
  <si>
    <t>Simone Pires</t>
  </si>
  <si>
    <t>Natália dos Santos</t>
  </si>
  <si>
    <t>Manoel de Almeida</t>
  </si>
  <si>
    <t>Igor de Souza</t>
  </si>
  <si>
    <t>Carla de Jesus</t>
  </si>
  <si>
    <t>Sílvia de Moura</t>
  </si>
  <si>
    <t>Amanda Soares</t>
  </si>
  <si>
    <t>Ana Amaral</t>
  </si>
  <si>
    <t>Marlene Dias</t>
  </si>
  <si>
    <t>Priscila Dias</t>
  </si>
  <si>
    <t>Robson de Moraes</t>
  </si>
  <si>
    <t>Milena Pereira</t>
  </si>
  <si>
    <t>Felipe Moreira</t>
  </si>
  <si>
    <t>André de Sousa</t>
  </si>
  <si>
    <t>André do Carmo</t>
  </si>
  <si>
    <t>Gabriel de Almeida</t>
  </si>
  <si>
    <t>Nicolas da Fonseca</t>
  </si>
  <si>
    <t>Bianca Braga</t>
  </si>
  <si>
    <t>Sueli Cordeiro</t>
  </si>
  <si>
    <t>Nelson Siqueira</t>
  </si>
  <si>
    <t>Ricardo Ribeiro</t>
  </si>
  <si>
    <t>Terezinha José</t>
  </si>
  <si>
    <t>Joana de Matos</t>
  </si>
  <si>
    <t>Marco da Rocha</t>
  </si>
  <si>
    <t>Francisco de Castro</t>
  </si>
  <si>
    <t>David Vieira</t>
  </si>
  <si>
    <t>Danilo Mendes</t>
  </si>
  <si>
    <t>Rogério Miranda</t>
  </si>
  <si>
    <t>Caroline Barbosa</t>
  </si>
  <si>
    <t>Josefa Queiroz</t>
  </si>
  <si>
    <t>Lara de Assis</t>
  </si>
  <si>
    <t>Beatriz Nunes</t>
  </si>
  <si>
    <t>Aline da Cruz</t>
  </si>
  <si>
    <t>Cícero de Souza</t>
  </si>
  <si>
    <t>Flávio Nunes</t>
  </si>
  <si>
    <t>Raquel Nunes</t>
  </si>
  <si>
    <t>Artur Ferreira</t>
  </si>
  <si>
    <t>Rita Batista</t>
  </si>
  <si>
    <t>Cláudia Pinheiro</t>
  </si>
  <si>
    <t>mat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</si>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</sst>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m\-yy;@"/>
    <numFmt numFmtId="165" formatCode="dd/mm/yy;@"/>
    <numFmt numFmtId="166" formatCode="0.000"/>
    <numFmt numFmtId="167" formatCode="d/m/yy;@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8">
    <xf numFmtId="0" fontId="0" fillId="0" borderId="0"/>
    <xf numFmtId="43" fontId="6" fillId="0" borderId="0" applyFont="0" applyFill="0" applyBorder="0" applyAlignment="0" applyProtection="0"/>
    <xf numFmtId="0" fontId="1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3" fillId="16" borderId="18" applyNumberFormat="0" applyAlignment="0" applyProtection="0"/>
    <xf numFmtId="0" fontId="14" fillId="17" borderId="19" applyNumberFormat="0" applyAlignment="0" applyProtection="0"/>
    <xf numFmtId="0" fontId="15" fillId="0" borderId="20" applyNumberFormat="0" applyFill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6" fillId="7" borderId="18" applyNumberFormat="0" applyAlignment="0" applyProtection="0"/>
    <xf numFmtId="0" fontId="17" fillId="3" borderId="0" applyNumberFormat="0" applyBorder="0" applyAlignment="0" applyProtection="0"/>
    <xf numFmtId="44" fontId="8" fillId="0" borderId="0" applyFont="0" applyFill="0" applyBorder="0" applyAlignment="0" applyProtection="0"/>
    <xf numFmtId="0" fontId="18" fillId="22" borderId="0" applyNumberFormat="0" applyBorder="0" applyAlignment="0" applyProtection="0"/>
    <xf numFmtId="0" fontId="8" fillId="23" borderId="21" applyNumberFormat="0" applyFont="0" applyAlignment="0" applyProtection="0"/>
    <xf numFmtId="9" fontId="8" fillId="0" borderId="0" applyFont="0" applyFill="0" applyBorder="0" applyAlignment="0" applyProtection="0"/>
    <xf numFmtId="0" fontId="19" fillId="16" borderId="22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4" fillId="0" borderId="24" applyNumberFormat="0" applyFill="0" applyAlignment="0" applyProtection="0"/>
    <xf numFmtId="0" fontId="25" fillId="0" borderId="25" applyNumberFormat="0" applyFill="0" applyAlignment="0" applyProtection="0"/>
    <xf numFmtId="0" fontId="25" fillId="0" borderId="0" applyNumberFormat="0" applyFill="0" applyBorder="0" applyAlignment="0" applyProtection="0"/>
    <xf numFmtId="0" fontId="7" fillId="0" borderId="26" applyNumberFormat="0" applyFill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6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7" fillId="0" borderId="0"/>
    <xf numFmtId="0" fontId="27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</cellStyleXfs>
  <cellXfs count="60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3" fillId="0" borderId="6" xfId="0" applyFont="1" applyBorder="1"/>
    <xf numFmtId="164" fontId="3" fillId="0" borderId="7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0" fillId="0" borderId="8" xfId="0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/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/>
    <xf numFmtId="0" fontId="3" fillId="0" borderId="7" xfId="0" applyFont="1" applyBorder="1"/>
    <xf numFmtId="0" fontId="4" fillId="0" borderId="12" xfId="0" applyFont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/>
    </xf>
    <xf numFmtId="166" fontId="0" fillId="0" borderId="0" xfId="0" applyNumberFormat="1"/>
    <xf numFmtId="0" fontId="4" fillId="0" borderId="13" xfId="0" applyFont="1" applyBorder="1" applyAlignment="1">
      <alignment horizontal="center" vertical="center" wrapText="1"/>
    </xf>
    <xf numFmtId="2" fontId="0" fillId="0" borderId="0" xfId="0" applyNumberFormat="1"/>
    <xf numFmtId="0" fontId="8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left"/>
    </xf>
    <xf numFmtId="0" fontId="8" fillId="0" borderId="12" xfId="0" applyFont="1" applyBorder="1"/>
    <xf numFmtId="165" fontId="8" fillId="0" borderId="12" xfId="0" applyNumberFormat="1" applyFont="1" applyBorder="1"/>
    <xf numFmtId="0" fontId="4" fillId="0" borderId="10" xfId="0" applyFont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9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3" fontId="0" fillId="0" borderId="12" xfId="1" applyFont="1" applyFill="1" applyBorder="1"/>
    <xf numFmtId="43" fontId="8" fillId="0" borderId="12" xfId="47" applyFont="1" applyFill="1" applyBorder="1"/>
    <xf numFmtId="43" fontId="0" fillId="0" borderId="0" xfId="0" applyNumberFormat="1"/>
    <xf numFmtId="0" fontId="7" fillId="0" borderId="11" xfId="0" applyFont="1" applyBorder="1" applyProtection="1">
      <protection locked="0"/>
    </xf>
    <xf numFmtId="43" fontId="8" fillId="0" borderId="12" xfId="0" applyNumberFormat="1" applyFont="1" applyBorder="1"/>
    <xf numFmtId="0" fontId="8" fillId="0" borderId="11" xfId="0" applyFont="1" applyBorder="1" applyProtection="1">
      <protection locked="0"/>
    </xf>
    <xf numFmtId="167" fontId="8" fillId="0" borderId="12" xfId="0" applyNumberFormat="1" applyFont="1" applyBorder="1" applyAlignment="1">
      <alignment horizontal="center"/>
    </xf>
    <xf numFmtId="0" fontId="8" fillId="0" borderId="12" xfId="0" applyFont="1" applyBorder="1" applyProtection="1">
      <protection locked="0"/>
    </xf>
    <xf numFmtId="0" fontId="7" fillId="0" borderId="12" xfId="0" applyFont="1" applyBorder="1" applyProtection="1">
      <protection locked="0"/>
    </xf>
    <xf numFmtId="43" fontId="8" fillId="0" borderId="9" xfId="47" applyFont="1" applyBorder="1"/>
    <xf numFmtId="43" fontId="8" fillId="0" borderId="12" xfId="47" applyFont="1" applyBorder="1"/>
    <xf numFmtId="43" fontId="0" fillId="0" borderId="12" xfId="1" applyFont="1" applyBorder="1"/>
    <xf numFmtId="0" fontId="28" fillId="0" borderId="12" xfId="0" applyFont="1" applyBorder="1" applyProtection="1">
      <protection locked="0"/>
    </xf>
    <xf numFmtId="43" fontId="0" fillId="0" borderId="0" xfId="1" applyFont="1"/>
    <xf numFmtId="0" fontId="1" fillId="0" borderId="12" xfId="0" applyFont="1" applyBorder="1"/>
    <xf numFmtId="43" fontId="8" fillId="0" borderId="12" xfId="1" applyFont="1" applyBorder="1"/>
    <xf numFmtId="43" fontId="8" fillId="0" borderId="12" xfId="1" applyFont="1" applyFill="1" applyBorder="1"/>
    <xf numFmtId="0" fontId="29" fillId="0" borderId="0" xfId="0" applyFont="1"/>
    <xf numFmtId="0" fontId="31" fillId="0" borderId="0" xfId="0" applyFont="1"/>
    <xf numFmtId="0" fontId="30" fillId="0" borderId="12" xfId="0" applyFont="1" applyBorder="1"/>
    <xf numFmtId="0" fontId="0" fillId="0" borderId="11" xfId="0" applyBorder="1"/>
  </cellXfs>
  <cellStyles count="98">
    <cellStyle name="20% - Accent1" xfId="3" xr:uid="{00000000-0005-0000-0000-000000000000}"/>
    <cellStyle name="20% - Accent2" xfId="4" xr:uid="{00000000-0005-0000-0000-000001000000}"/>
    <cellStyle name="20% - Accent3" xfId="5" xr:uid="{00000000-0005-0000-0000-000002000000}"/>
    <cellStyle name="20% - Accent4" xfId="6" xr:uid="{00000000-0005-0000-0000-000003000000}"/>
    <cellStyle name="20% - Accent5" xfId="7" xr:uid="{00000000-0005-0000-0000-000004000000}"/>
    <cellStyle name="20% - Accent6" xfId="8" xr:uid="{00000000-0005-0000-0000-000005000000}"/>
    <cellStyle name="40% - Accent1" xfId="9" xr:uid="{00000000-0005-0000-0000-000006000000}"/>
    <cellStyle name="40% - Accent2" xfId="10" xr:uid="{00000000-0005-0000-0000-000007000000}"/>
    <cellStyle name="40% - Accent3" xfId="11" xr:uid="{00000000-0005-0000-0000-000008000000}"/>
    <cellStyle name="40% - Accent4" xfId="12" xr:uid="{00000000-0005-0000-0000-000009000000}"/>
    <cellStyle name="40% - Accent5" xfId="13" xr:uid="{00000000-0005-0000-0000-00000A000000}"/>
    <cellStyle name="40% - Accent6" xfId="14" xr:uid="{00000000-0005-0000-0000-00000B000000}"/>
    <cellStyle name="60% - Accent1" xfId="15" xr:uid="{00000000-0005-0000-0000-00000C000000}"/>
    <cellStyle name="60% - Accent2" xfId="16" xr:uid="{00000000-0005-0000-0000-00000D000000}"/>
    <cellStyle name="60% - Accent3" xfId="17" xr:uid="{00000000-0005-0000-0000-00000E000000}"/>
    <cellStyle name="60% - Accent4" xfId="18" xr:uid="{00000000-0005-0000-0000-00000F000000}"/>
    <cellStyle name="60% - Accent5" xfId="19" xr:uid="{00000000-0005-0000-0000-000010000000}"/>
    <cellStyle name="60% - Accent6" xfId="20" xr:uid="{00000000-0005-0000-0000-000011000000}"/>
    <cellStyle name="Accent1" xfId="25" xr:uid="{00000000-0005-0000-0000-000012000000}"/>
    <cellStyle name="Accent2" xfId="26" xr:uid="{00000000-0005-0000-0000-000013000000}"/>
    <cellStyle name="Accent3" xfId="27" xr:uid="{00000000-0005-0000-0000-000014000000}"/>
    <cellStyle name="Accent4" xfId="28" xr:uid="{00000000-0005-0000-0000-000015000000}"/>
    <cellStyle name="Accent5" xfId="29" xr:uid="{00000000-0005-0000-0000-000016000000}"/>
    <cellStyle name="Accent6" xfId="30" xr:uid="{00000000-0005-0000-0000-000017000000}"/>
    <cellStyle name="Bad" xfId="32" xr:uid="{00000000-0005-0000-0000-000018000000}"/>
    <cellStyle name="Calculation" xfId="22" xr:uid="{00000000-0005-0000-0000-000019000000}"/>
    <cellStyle name="Check Cell" xfId="23" xr:uid="{00000000-0005-0000-0000-00001A000000}"/>
    <cellStyle name="Comma" xfId="1" builtinId="3"/>
    <cellStyle name="Explanatory Text" xfId="39" xr:uid="{00000000-0005-0000-0000-00001B000000}"/>
    <cellStyle name="Good" xfId="21" xr:uid="{00000000-0005-0000-0000-00001C000000}"/>
    <cellStyle name="Heading 1" xfId="41" xr:uid="{00000000-0005-0000-0000-00001D000000}"/>
    <cellStyle name="Heading 2" xfId="42" xr:uid="{00000000-0005-0000-0000-00001E000000}"/>
    <cellStyle name="Heading 3" xfId="43" xr:uid="{00000000-0005-0000-0000-00001F000000}"/>
    <cellStyle name="Heading 4" xfId="44" xr:uid="{00000000-0005-0000-0000-000020000000}"/>
    <cellStyle name="Hiperlink 2" xfId="53" xr:uid="{00000000-0005-0000-0000-000021000000}"/>
    <cellStyle name="Input" xfId="31" xr:uid="{00000000-0005-0000-0000-000022000000}"/>
    <cellStyle name="Linked Cell" xfId="24" xr:uid="{00000000-0005-0000-0000-000023000000}"/>
    <cellStyle name="Moeda 2" xfId="33" xr:uid="{00000000-0005-0000-0000-000024000000}"/>
    <cellStyle name="Neutral" xfId="34" xr:uid="{00000000-0005-0000-0000-000025000000}"/>
    <cellStyle name="Normal" xfId="0" builtinId="0"/>
    <cellStyle name="Normal 2" xfId="48" xr:uid="{00000000-0005-0000-0000-000027000000}"/>
    <cellStyle name="Normal 2 2" xfId="58" xr:uid="{00000000-0005-0000-0000-000028000000}"/>
    <cellStyle name="Normal 2 3" xfId="77" xr:uid="{00000000-0005-0000-0000-000029000000}"/>
    <cellStyle name="Normal 3" xfId="52" xr:uid="{00000000-0005-0000-0000-00002A000000}"/>
    <cellStyle name="Normal 3 2" xfId="59" xr:uid="{00000000-0005-0000-0000-00002B000000}"/>
    <cellStyle name="Normal 3 3" xfId="81" xr:uid="{00000000-0005-0000-0000-00002C000000}"/>
    <cellStyle name="Normal 4" xfId="57" xr:uid="{00000000-0005-0000-0000-00002D000000}"/>
    <cellStyle name="Normal 4 2" xfId="85" xr:uid="{00000000-0005-0000-0000-00002E000000}"/>
    <cellStyle name="Normal 5" xfId="63" xr:uid="{00000000-0005-0000-0000-00002F000000}"/>
    <cellStyle name="Normal 5 2" xfId="89" xr:uid="{00000000-0005-0000-0000-000030000000}"/>
    <cellStyle name="Normal 6" xfId="67" xr:uid="{00000000-0005-0000-0000-000031000000}"/>
    <cellStyle name="Normal 6 2" xfId="93" xr:uid="{00000000-0005-0000-0000-000032000000}"/>
    <cellStyle name="Normal 7" xfId="2" xr:uid="{00000000-0005-0000-0000-000033000000}"/>
    <cellStyle name="Normal 7 2" xfId="97" xr:uid="{00000000-0005-0000-0000-000034000000}"/>
    <cellStyle name="Normal 8" xfId="72" xr:uid="{00000000-0005-0000-0000-000035000000}"/>
    <cellStyle name="Normal 9" xfId="71" xr:uid="{00000000-0005-0000-0000-000036000000}"/>
    <cellStyle name="Note" xfId="35" xr:uid="{00000000-0005-0000-0000-000037000000}"/>
    <cellStyle name="Output" xfId="37" xr:uid="{00000000-0005-0000-0000-000038000000}"/>
    <cellStyle name="Porcentagem 2" xfId="49" xr:uid="{00000000-0005-0000-0000-000039000000}"/>
    <cellStyle name="Porcentagem 2 2" xfId="78" xr:uid="{00000000-0005-0000-0000-00003A000000}"/>
    <cellStyle name="Porcentagem 3" xfId="54" xr:uid="{00000000-0005-0000-0000-00003B000000}"/>
    <cellStyle name="Porcentagem 3 2" xfId="82" xr:uid="{00000000-0005-0000-0000-00003C000000}"/>
    <cellStyle name="Porcentagem 4" xfId="60" xr:uid="{00000000-0005-0000-0000-00003D000000}"/>
    <cellStyle name="Porcentagem 4 2" xfId="86" xr:uid="{00000000-0005-0000-0000-00003E000000}"/>
    <cellStyle name="Porcentagem 5" xfId="64" xr:uid="{00000000-0005-0000-0000-00003F000000}"/>
    <cellStyle name="Porcentagem 5 2" xfId="90" xr:uid="{00000000-0005-0000-0000-000040000000}"/>
    <cellStyle name="Porcentagem 6" xfId="68" xr:uid="{00000000-0005-0000-0000-000041000000}"/>
    <cellStyle name="Porcentagem 6 2" xfId="94" xr:uid="{00000000-0005-0000-0000-000042000000}"/>
    <cellStyle name="Porcentagem 7" xfId="36" xr:uid="{00000000-0005-0000-0000-000043000000}"/>
    <cellStyle name="Porcentagem 8" xfId="74" xr:uid="{00000000-0005-0000-0000-000044000000}"/>
    <cellStyle name="Title" xfId="40" xr:uid="{00000000-0005-0000-0000-000046000000}"/>
    <cellStyle name="Total 2" xfId="45" xr:uid="{00000000-0005-0000-0000-000047000000}"/>
    <cellStyle name="Vírgula 2" xfId="47" xr:uid="{00000000-0005-0000-0000-000048000000}"/>
    <cellStyle name="Vírgula 2 2" xfId="51" xr:uid="{00000000-0005-0000-0000-000049000000}"/>
    <cellStyle name="Vírgula 2 2 2" xfId="80" xr:uid="{00000000-0005-0000-0000-00004A000000}"/>
    <cellStyle name="Vírgula 2 3" xfId="56" xr:uid="{00000000-0005-0000-0000-00004B000000}"/>
    <cellStyle name="Vírgula 2 3 2" xfId="84" xr:uid="{00000000-0005-0000-0000-00004C000000}"/>
    <cellStyle name="Vírgula 2 4" xfId="62" xr:uid="{00000000-0005-0000-0000-00004D000000}"/>
    <cellStyle name="Vírgula 2 4 2" xfId="88" xr:uid="{00000000-0005-0000-0000-00004E000000}"/>
    <cellStyle name="Vírgula 2 5" xfId="66" xr:uid="{00000000-0005-0000-0000-00004F000000}"/>
    <cellStyle name="Vírgula 2 5 2" xfId="92" xr:uid="{00000000-0005-0000-0000-000050000000}"/>
    <cellStyle name="Vírgula 2 6" xfId="70" xr:uid="{00000000-0005-0000-0000-000051000000}"/>
    <cellStyle name="Vírgula 2 6 2" xfId="96" xr:uid="{00000000-0005-0000-0000-000052000000}"/>
    <cellStyle name="Vírgula 2 7" xfId="76" xr:uid="{00000000-0005-0000-0000-000053000000}"/>
    <cellStyle name="Vírgula 2 8" xfId="75" xr:uid="{00000000-0005-0000-0000-000054000000}"/>
    <cellStyle name="Vírgula 3" xfId="50" xr:uid="{00000000-0005-0000-0000-000055000000}"/>
    <cellStyle name="Vírgula 3 2" xfId="79" xr:uid="{00000000-0005-0000-0000-000056000000}"/>
    <cellStyle name="Vírgula 4" xfId="55" xr:uid="{00000000-0005-0000-0000-000057000000}"/>
    <cellStyle name="Vírgula 4 2" xfId="83" xr:uid="{00000000-0005-0000-0000-000058000000}"/>
    <cellStyle name="Vírgula 5" xfId="61" xr:uid="{00000000-0005-0000-0000-000059000000}"/>
    <cellStyle name="Vírgula 5 2" xfId="87" xr:uid="{00000000-0005-0000-0000-00005A000000}"/>
    <cellStyle name="Vírgula 6" xfId="65" xr:uid="{00000000-0005-0000-0000-00005B000000}"/>
    <cellStyle name="Vírgula 6 2" xfId="91" xr:uid="{00000000-0005-0000-0000-00005C000000}"/>
    <cellStyle name="Vírgula 7" xfId="69" xr:uid="{00000000-0005-0000-0000-00005D000000}"/>
    <cellStyle name="Vírgula 7 2" xfId="95" xr:uid="{00000000-0005-0000-0000-00005E000000}"/>
    <cellStyle name="Vírgula 8" xfId="46" xr:uid="{00000000-0005-0000-0000-00005F000000}"/>
    <cellStyle name="Vírgula 9" xfId="73" xr:uid="{00000000-0005-0000-0000-000060000000}"/>
    <cellStyle name="Warning Text" xfId="38" xr:uid="{00000000-0005-0000-0000-00006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view="pageBreakPreview" zoomScaleSheetLayoutView="100" workbookViewId="0">
      <pane xSplit="2" ySplit="2" topLeftCell="C56" activePane="bottomRight" state="frozen"/>
      <selection pane="topRight" activeCell="C1" sqref="C1"/>
      <selection pane="bottomLeft" activeCell="A3" sqref="A3"/>
      <selection pane="bottomRight" activeCell="A3" sqref="A3:B85"/>
    </sheetView>
  </sheetViews>
  <sheetFormatPr defaultRowHeight="14.4" x14ac:dyDescent="0.3"/>
  <cols>
    <col min="1" max="1" width="5.109375" customWidth="1"/>
    <col min="2" max="2" width="26.109375" customWidth="1"/>
    <col min="3" max="3" width="6.109375" customWidth="1"/>
    <col min="4" max="5" width="14.6640625" customWidth="1"/>
    <col min="6" max="6" width="14.109375" customWidth="1"/>
    <col min="7" max="11" width="14.33203125" customWidth="1"/>
    <col min="12" max="12" width="13.88671875" customWidth="1"/>
    <col min="13" max="13" width="16.109375" customWidth="1"/>
    <col min="14" max="14" width="14.5546875" customWidth="1"/>
    <col min="15" max="15" width="13.6640625" customWidth="1"/>
    <col min="16" max="16" width="11.5546875" customWidth="1"/>
    <col min="20" max="20" width="34.44140625" customWidth="1"/>
  </cols>
  <sheetData>
    <row r="1" spans="1:16" ht="35.700000000000003" customHeight="1" x14ac:dyDescent="0.4">
      <c r="B1" s="19" t="s">
        <v>175</v>
      </c>
      <c r="E1" s="23"/>
      <c r="F1" s="23"/>
      <c r="G1" s="23"/>
      <c r="H1" s="23"/>
      <c r="I1" s="23"/>
      <c r="J1" s="23"/>
      <c r="K1" s="23"/>
      <c r="L1" s="21">
        <f>SUM(L3:L85)</f>
        <v>665.25</v>
      </c>
      <c r="M1" s="21">
        <f>SUM(M3:M85)</f>
        <v>524.26666666666665</v>
      </c>
      <c r="N1" s="21">
        <f>SUM(N3:N85)</f>
        <v>151.58333333333331</v>
      </c>
      <c r="O1" s="21">
        <f>SUM(O3:O85)</f>
        <v>411.58333333333337</v>
      </c>
    </row>
    <row r="2" spans="1:16" ht="55.2" x14ac:dyDescent="0.3">
      <c r="A2" s="18" t="s">
        <v>9</v>
      </c>
      <c r="B2" s="18" t="s">
        <v>10</v>
      </c>
      <c r="C2" s="18" t="s">
        <v>5</v>
      </c>
      <c r="D2" s="18" t="s">
        <v>11</v>
      </c>
      <c r="E2" s="18" t="s">
        <v>12</v>
      </c>
      <c r="F2" s="18" t="s">
        <v>13</v>
      </c>
      <c r="G2" s="18" t="s">
        <v>14</v>
      </c>
      <c r="H2" s="18" t="s">
        <v>25</v>
      </c>
      <c r="I2" s="18" t="s">
        <v>26</v>
      </c>
      <c r="J2" s="28" t="s">
        <v>29</v>
      </c>
      <c r="K2" s="28" t="s">
        <v>60</v>
      </c>
      <c r="L2" s="28" t="s">
        <v>11</v>
      </c>
      <c r="M2" s="18" t="s">
        <v>12</v>
      </c>
      <c r="N2" s="18" t="s">
        <v>13</v>
      </c>
      <c r="O2" s="18" t="s">
        <v>14</v>
      </c>
      <c r="P2" s="22" t="s">
        <v>5</v>
      </c>
    </row>
    <row r="3" spans="1:16" x14ac:dyDescent="0.3">
      <c r="A3" s="24">
        <v>370</v>
      </c>
      <c r="B3" s="25" t="s">
        <v>176</v>
      </c>
      <c r="C3" s="24" t="s">
        <v>5</v>
      </c>
      <c r="D3" s="24" t="s">
        <v>84</v>
      </c>
      <c r="E3" s="24" t="s">
        <v>59</v>
      </c>
      <c r="F3" s="24" t="s">
        <v>59</v>
      </c>
      <c r="G3" s="24" t="s">
        <v>71</v>
      </c>
      <c r="H3" s="29">
        <v>0</v>
      </c>
      <c r="I3" s="20"/>
      <c r="J3" s="29">
        <v>45546</v>
      </c>
      <c r="K3" s="29">
        <v>45649</v>
      </c>
      <c r="L3" s="21">
        <f t="shared" ref="L3:L34" si="0">IF(SEARCH("hs",D3)=2,VALUE(LEFT(D3,1)),VALUE(LEFT(D3,2)))+(VALUE(MID(D3,SEARCH("hs",D3)+3,SEARCH("min",D3)-(SEARCH("hs",D3)+3)))/60)</f>
        <v>11.966666666666667</v>
      </c>
      <c r="M3" s="21">
        <f t="shared" ref="M3:M34" si="1">IF(SEARCH("hs",E3)=2,VALUE(LEFT(E3,1)),VALUE(LEFT(E3,2)))+(VALUE(MID(E3,SEARCH("hs",E3)+3,SEARCH("min",E3)-(SEARCH("hs",E3)+3)))/60)</f>
        <v>0</v>
      </c>
      <c r="N3" s="21">
        <f t="shared" ref="N3:N34" si="2">IF(SEARCH("hs",F3)=2,VALUE(LEFT(F3,1)),VALUE(LEFT(F3,2)))+(VALUE(MID(F3,SEARCH("hs",F3)+3,SEARCH("min",F3)-(SEARCH("hs",F3)+3)))/60)</f>
        <v>0</v>
      </c>
      <c r="O3" s="21">
        <f t="shared" ref="O3:O34" si="3">IF(SEARCH("hs",G3)=2,VALUE(LEFT(G3,1)),VALUE(LEFT(G3,2)))+(VALUE(MID(G3,SEARCH("hs",G3)+3,SEARCH("min",G3)-(SEARCH("hs",G3)+3)))/60)</f>
        <v>6.0666666666666664</v>
      </c>
    </row>
    <row r="4" spans="1:16" x14ac:dyDescent="0.3">
      <c r="A4" s="24">
        <v>198</v>
      </c>
      <c r="B4" s="25" t="s">
        <v>177</v>
      </c>
      <c r="C4" s="24" t="s">
        <v>5</v>
      </c>
      <c r="D4" s="20" t="s">
        <v>85</v>
      </c>
      <c r="E4" s="20" t="s">
        <v>59</v>
      </c>
      <c r="F4" s="20" t="s">
        <v>59</v>
      </c>
      <c r="G4" s="24" t="s">
        <v>73</v>
      </c>
      <c r="H4" s="29">
        <v>0</v>
      </c>
      <c r="I4" s="20"/>
      <c r="J4" s="29">
        <v>44070</v>
      </c>
      <c r="K4" s="29">
        <v>44202</v>
      </c>
      <c r="L4" s="21">
        <f t="shared" si="0"/>
        <v>5.083333333333333</v>
      </c>
      <c r="M4" s="21">
        <f t="shared" si="1"/>
        <v>0</v>
      </c>
      <c r="N4" s="21">
        <f t="shared" si="2"/>
        <v>0</v>
      </c>
      <c r="O4" s="21">
        <f t="shared" si="3"/>
        <v>6.0166666666666666</v>
      </c>
    </row>
    <row r="5" spans="1:16" x14ac:dyDescent="0.3">
      <c r="A5" s="24">
        <v>494</v>
      </c>
      <c r="B5" s="25" t="s">
        <v>178</v>
      </c>
      <c r="C5" s="24" t="s">
        <v>5</v>
      </c>
      <c r="D5" s="20" t="s">
        <v>86</v>
      </c>
      <c r="E5" s="20" t="s">
        <v>87</v>
      </c>
      <c r="F5" s="20" t="s">
        <v>59</v>
      </c>
      <c r="G5" s="24" t="s">
        <v>72</v>
      </c>
      <c r="H5" s="29">
        <v>0</v>
      </c>
      <c r="I5" s="20"/>
      <c r="J5" s="29">
        <v>46108</v>
      </c>
      <c r="K5" s="29">
        <v>46163</v>
      </c>
      <c r="L5" s="21">
        <f t="shared" si="0"/>
        <v>18.666666666666668</v>
      </c>
      <c r="M5" s="21">
        <f t="shared" si="1"/>
        <v>12.65</v>
      </c>
      <c r="N5" s="21">
        <f t="shared" si="2"/>
        <v>0</v>
      </c>
      <c r="O5" s="21">
        <f t="shared" si="3"/>
        <v>6.083333333333333</v>
      </c>
    </row>
    <row r="6" spans="1:16" x14ac:dyDescent="0.3">
      <c r="A6" s="24">
        <v>428</v>
      </c>
      <c r="B6" s="25" t="s">
        <v>179</v>
      </c>
      <c r="C6" s="24" t="s">
        <v>5</v>
      </c>
      <c r="D6" s="24" t="s">
        <v>88</v>
      </c>
      <c r="E6" s="24" t="s">
        <v>89</v>
      </c>
      <c r="F6" s="24" t="s">
        <v>59</v>
      </c>
      <c r="G6" s="24" t="s">
        <v>67</v>
      </c>
      <c r="H6" s="29">
        <v>0</v>
      </c>
      <c r="I6" s="24"/>
      <c r="J6" s="45">
        <v>45794</v>
      </c>
      <c r="K6" s="45">
        <v>45862</v>
      </c>
      <c r="L6" s="21">
        <f t="shared" si="0"/>
        <v>8.0833333333333339</v>
      </c>
      <c r="M6" s="21">
        <f t="shared" si="1"/>
        <v>24.95</v>
      </c>
      <c r="N6" s="21">
        <f t="shared" si="2"/>
        <v>0</v>
      </c>
      <c r="O6" s="21">
        <f t="shared" si="3"/>
        <v>6.0333333333333332</v>
      </c>
    </row>
    <row r="7" spans="1:16" x14ac:dyDescent="0.3">
      <c r="A7" s="24">
        <v>54</v>
      </c>
      <c r="B7" s="25" t="s">
        <v>180</v>
      </c>
      <c r="C7" s="24" t="s">
        <v>5</v>
      </c>
      <c r="D7" s="24" t="s">
        <v>59</v>
      </c>
      <c r="E7" s="24" t="s">
        <v>59</v>
      </c>
      <c r="F7" s="24" t="s">
        <v>59</v>
      </c>
      <c r="G7" s="24" t="s">
        <v>67</v>
      </c>
      <c r="H7" s="29">
        <v>0</v>
      </c>
      <c r="I7" s="20"/>
      <c r="J7" s="29">
        <v>42278</v>
      </c>
      <c r="K7" s="29">
        <v>42507</v>
      </c>
      <c r="L7" s="21">
        <f t="shared" si="0"/>
        <v>0</v>
      </c>
      <c r="M7" s="21">
        <f t="shared" si="1"/>
        <v>0</v>
      </c>
      <c r="N7" s="21">
        <f t="shared" si="2"/>
        <v>0</v>
      </c>
      <c r="O7" s="21">
        <f t="shared" si="3"/>
        <v>6.0333333333333332</v>
      </c>
    </row>
    <row r="8" spans="1:16" x14ac:dyDescent="0.3">
      <c r="A8" s="24">
        <v>491</v>
      </c>
      <c r="B8" s="25" t="s">
        <v>181</v>
      </c>
      <c r="C8" s="24" t="s">
        <v>5</v>
      </c>
      <c r="D8" s="24" t="s">
        <v>59</v>
      </c>
      <c r="E8" s="24" t="s">
        <v>59</v>
      </c>
      <c r="F8" s="24" t="s">
        <v>59</v>
      </c>
      <c r="G8" s="24" t="s">
        <v>67</v>
      </c>
      <c r="H8" s="29">
        <v>0</v>
      </c>
      <c r="I8" s="20"/>
      <c r="J8" s="29">
        <v>46093</v>
      </c>
      <c r="K8" s="29">
        <v>46093</v>
      </c>
      <c r="L8" s="21">
        <f t="shared" si="0"/>
        <v>0</v>
      </c>
      <c r="M8" s="21">
        <f t="shared" si="1"/>
        <v>0</v>
      </c>
      <c r="N8" s="21">
        <f t="shared" si="2"/>
        <v>0</v>
      </c>
      <c r="O8" s="21">
        <f t="shared" si="3"/>
        <v>6.0333333333333332</v>
      </c>
    </row>
    <row r="9" spans="1:16" x14ac:dyDescent="0.3">
      <c r="A9" s="24">
        <v>186</v>
      </c>
      <c r="B9" s="25" t="s">
        <v>182</v>
      </c>
      <c r="C9" s="24" t="s">
        <v>5</v>
      </c>
      <c r="D9" s="24" t="s">
        <v>74</v>
      </c>
      <c r="E9" s="24" t="s">
        <v>59</v>
      </c>
      <c r="F9" s="24" t="s">
        <v>59</v>
      </c>
      <c r="G9" s="24" t="s">
        <v>72</v>
      </c>
      <c r="H9" s="29">
        <v>0</v>
      </c>
      <c r="I9" s="24"/>
      <c r="J9" s="45">
        <v>43774</v>
      </c>
      <c r="K9" s="45">
        <v>43862</v>
      </c>
      <c r="L9" s="21">
        <f t="shared" si="0"/>
        <v>20.55</v>
      </c>
      <c r="M9" s="21">
        <f t="shared" si="1"/>
        <v>0</v>
      </c>
      <c r="N9" s="21">
        <f t="shared" si="2"/>
        <v>0</v>
      </c>
      <c r="O9" s="21">
        <f t="shared" si="3"/>
        <v>6.083333333333333</v>
      </c>
    </row>
    <row r="10" spans="1:16" x14ac:dyDescent="0.3">
      <c r="A10" s="24">
        <v>358</v>
      </c>
      <c r="B10" s="25" t="s">
        <v>183</v>
      </c>
      <c r="C10" s="24" t="s">
        <v>5</v>
      </c>
      <c r="D10" s="24" t="s">
        <v>90</v>
      </c>
      <c r="E10" s="24" t="s">
        <v>91</v>
      </c>
      <c r="F10" s="24" t="s">
        <v>59</v>
      </c>
      <c r="G10" s="24" t="s">
        <v>71</v>
      </c>
      <c r="H10" s="29">
        <v>0</v>
      </c>
      <c r="I10" s="24"/>
      <c r="J10" s="45">
        <v>45483</v>
      </c>
      <c r="K10" s="45">
        <v>45551</v>
      </c>
      <c r="L10" s="21">
        <f t="shared" si="0"/>
        <v>6.5166666666666666</v>
      </c>
      <c r="M10" s="21">
        <f t="shared" si="1"/>
        <v>1.5</v>
      </c>
      <c r="N10" s="21">
        <f t="shared" si="2"/>
        <v>0</v>
      </c>
      <c r="O10" s="21">
        <f t="shared" si="3"/>
        <v>6.0666666666666664</v>
      </c>
    </row>
    <row r="11" spans="1:16" x14ac:dyDescent="0.3">
      <c r="A11" s="24">
        <v>373</v>
      </c>
      <c r="B11" s="25" t="s">
        <v>184</v>
      </c>
      <c r="C11" s="24" t="s">
        <v>5</v>
      </c>
      <c r="D11" s="24" t="s">
        <v>80</v>
      </c>
      <c r="E11" s="24" t="s">
        <v>92</v>
      </c>
      <c r="F11" s="24" t="s">
        <v>59</v>
      </c>
      <c r="G11" s="24" t="s">
        <v>72</v>
      </c>
      <c r="H11" s="29">
        <v>0</v>
      </c>
      <c r="I11" s="20"/>
      <c r="J11" s="29">
        <v>45549</v>
      </c>
      <c r="K11" s="29">
        <v>45726</v>
      </c>
      <c r="L11" s="21">
        <f t="shared" si="0"/>
        <v>16.216666666666665</v>
      </c>
      <c r="M11" s="21">
        <f t="shared" si="1"/>
        <v>14.333333333333334</v>
      </c>
      <c r="N11" s="21">
        <f t="shared" si="2"/>
        <v>0</v>
      </c>
      <c r="O11" s="21">
        <f t="shared" si="3"/>
        <v>6.083333333333333</v>
      </c>
    </row>
    <row r="12" spans="1:16" x14ac:dyDescent="0.3">
      <c r="A12" s="24">
        <v>453</v>
      </c>
      <c r="B12" s="25" t="s">
        <v>185</v>
      </c>
      <c r="C12" s="24" t="s">
        <v>5</v>
      </c>
      <c r="D12" s="24" t="s">
        <v>93</v>
      </c>
      <c r="E12" s="24" t="s">
        <v>94</v>
      </c>
      <c r="F12" s="24" t="s">
        <v>59</v>
      </c>
      <c r="G12" s="24" t="s">
        <v>71</v>
      </c>
      <c r="H12" s="29">
        <v>0</v>
      </c>
      <c r="I12" s="20"/>
      <c r="J12" s="29">
        <v>45908</v>
      </c>
      <c r="K12" s="29">
        <v>45934</v>
      </c>
      <c r="L12" s="21">
        <f t="shared" si="0"/>
        <v>14.783333333333333</v>
      </c>
      <c r="M12" s="21">
        <f t="shared" si="1"/>
        <v>16.25</v>
      </c>
      <c r="N12" s="21">
        <f t="shared" si="2"/>
        <v>0</v>
      </c>
      <c r="O12" s="21">
        <f t="shared" si="3"/>
        <v>6.0666666666666664</v>
      </c>
    </row>
    <row r="13" spans="1:16" x14ac:dyDescent="0.3">
      <c r="A13" s="24">
        <v>81</v>
      </c>
      <c r="B13" s="25" t="s">
        <v>186</v>
      </c>
      <c r="C13" s="24" t="s">
        <v>5</v>
      </c>
      <c r="D13" s="24" t="s">
        <v>59</v>
      </c>
      <c r="E13" s="24" t="s">
        <v>59</v>
      </c>
      <c r="F13" s="24" t="s">
        <v>59</v>
      </c>
      <c r="G13" s="24" t="s">
        <v>66</v>
      </c>
      <c r="H13" s="29">
        <v>0</v>
      </c>
      <c r="I13" s="20"/>
      <c r="J13" s="29">
        <v>42660</v>
      </c>
      <c r="K13" s="29">
        <v>42698</v>
      </c>
      <c r="L13" s="21">
        <f t="shared" si="0"/>
        <v>0</v>
      </c>
      <c r="M13" s="21">
        <f t="shared" si="1"/>
        <v>0</v>
      </c>
      <c r="N13" s="21">
        <f t="shared" si="2"/>
        <v>0</v>
      </c>
      <c r="O13" s="21">
        <f t="shared" si="3"/>
        <v>6.05</v>
      </c>
    </row>
    <row r="14" spans="1:16" x14ac:dyDescent="0.3">
      <c r="A14" s="24">
        <v>479</v>
      </c>
      <c r="B14" s="25" t="s">
        <v>187</v>
      </c>
      <c r="C14" s="24" t="s">
        <v>5</v>
      </c>
      <c r="D14" s="20" t="s">
        <v>95</v>
      </c>
      <c r="E14" s="20" t="s">
        <v>96</v>
      </c>
      <c r="F14" s="20" t="s">
        <v>59</v>
      </c>
      <c r="G14" s="24" t="s">
        <v>72</v>
      </c>
      <c r="H14" s="29">
        <v>0</v>
      </c>
      <c r="I14" s="20"/>
      <c r="J14" s="29">
        <v>46050</v>
      </c>
      <c r="K14" s="29">
        <v>46086</v>
      </c>
      <c r="L14" s="21">
        <f t="shared" si="0"/>
        <v>19.45</v>
      </c>
      <c r="M14" s="21">
        <f t="shared" si="1"/>
        <v>16.116666666666667</v>
      </c>
      <c r="N14" s="21">
        <f t="shared" si="2"/>
        <v>0</v>
      </c>
      <c r="O14" s="21">
        <f t="shared" si="3"/>
        <v>6.083333333333333</v>
      </c>
    </row>
    <row r="15" spans="1:16" x14ac:dyDescent="0.3">
      <c r="A15" s="24">
        <v>520</v>
      </c>
      <c r="B15" s="16" t="s">
        <v>188</v>
      </c>
      <c r="C15" s="24" t="s">
        <v>15</v>
      </c>
      <c r="D15" s="20" t="s">
        <v>165</v>
      </c>
      <c r="E15" s="20" t="s">
        <v>166</v>
      </c>
      <c r="F15" s="20" t="s">
        <v>59</v>
      </c>
      <c r="G15" s="20" t="s">
        <v>73</v>
      </c>
      <c r="H15" s="29">
        <v>0</v>
      </c>
      <c r="I15" s="20"/>
      <c r="J15" s="29">
        <v>46188</v>
      </c>
      <c r="K15" s="29">
        <v>0</v>
      </c>
      <c r="L15" s="21">
        <f t="shared" si="0"/>
        <v>5.8</v>
      </c>
      <c r="M15" s="21">
        <f t="shared" si="1"/>
        <v>3.4166666666666665</v>
      </c>
      <c r="N15" s="21">
        <f t="shared" si="2"/>
        <v>0</v>
      </c>
      <c r="O15" s="21">
        <f t="shared" si="3"/>
        <v>6.0166666666666666</v>
      </c>
    </row>
    <row r="16" spans="1:16" x14ac:dyDescent="0.3">
      <c r="A16" s="24">
        <v>524</v>
      </c>
      <c r="B16" s="25" t="s">
        <v>189</v>
      </c>
      <c r="C16" s="24" t="s">
        <v>15</v>
      </c>
      <c r="D16" s="24" t="s">
        <v>59</v>
      </c>
      <c r="E16" s="24" t="s">
        <v>59</v>
      </c>
      <c r="F16" s="24" t="s">
        <v>171</v>
      </c>
      <c r="G16" s="24" t="s">
        <v>72</v>
      </c>
      <c r="H16" s="29">
        <v>0</v>
      </c>
      <c r="I16" s="29"/>
      <c r="J16" s="29">
        <v>46196</v>
      </c>
      <c r="K16" s="29">
        <v>0</v>
      </c>
      <c r="L16" s="21">
        <f t="shared" si="0"/>
        <v>0</v>
      </c>
      <c r="M16" s="21">
        <f t="shared" si="1"/>
        <v>0</v>
      </c>
      <c r="N16" s="21">
        <f t="shared" si="2"/>
        <v>3.3333333333333333E-2</v>
      </c>
      <c r="O16" s="21">
        <f t="shared" si="3"/>
        <v>6.083333333333333</v>
      </c>
    </row>
    <row r="17" spans="1:15" x14ac:dyDescent="0.3">
      <c r="A17" s="24">
        <v>449</v>
      </c>
      <c r="B17" s="25" t="s">
        <v>190</v>
      </c>
      <c r="C17" s="24" t="s">
        <v>5</v>
      </c>
      <c r="D17" s="20" t="s">
        <v>59</v>
      </c>
      <c r="E17" s="20" t="s">
        <v>97</v>
      </c>
      <c r="F17" s="20" t="s">
        <v>85</v>
      </c>
      <c r="G17" s="24" t="s">
        <v>75</v>
      </c>
      <c r="H17" s="29">
        <v>0</v>
      </c>
      <c r="I17" s="20"/>
      <c r="J17" s="29">
        <v>45901</v>
      </c>
      <c r="K17" s="29">
        <v>45977</v>
      </c>
      <c r="L17" s="21">
        <f t="shared" si="0"/>
        <v>0</v>
      </c>
      <c r="M17" s="21">
        <f t="shared" si="1"/>
        <v>26.316666666666666</v>
      </c>
      <c r="N17" s="21">
        <f t="shared" si="2"/>
        <v>5.083333333333333</v>
      </c>
      <c r="O17" s="21">
        <f t="shared" si="3"/>
        <v>6.1</v>
      </c>
    </row>
    <row r="18" spans="1:15" x14ac:dyDescent="0.3">
      <c r="A18" s="24">
        <v>13</v>
      </c>
      <c r="B18" s="25" t="s">
        <v>191</v>
      </c>
      <c r="C18" s="24" t="s">
        <v>5</v>
      </c>
      <c r="D18" s="24" t="s">
        <v>59</v>
      </c>
      <c r="E18" s="24" t="s">
        <v>59</v>
      </c>
      <c r="F18" s="24" t="s">
        <v>59</v>
      </c>
      <c r="G18" s="24" t="s">
        <v>72</v>
      </c>
      <c r="H18" s="29">
        <v>0</v>
      </c>
      <c r="I18" s="20"/>
      <c r="J18" s="29">
        <v>41990</v>
      </c>
      <c r="K18" s="29">
        <v>42401</v>
      </c>
      <c r="L18" s="21">
        <f t="shared" si="0"/>
        <v>0</v>
      </c>
      <c r="M18" s="21">
        <f t="shared" si="1"/>
        <v>0</v>
      </c>
      <c r="N18" s="21">
        <f t="shared" si="2"/>
        <v>0</v>
      </c>
      <c r="O18" s="21">
        <f t="shared" si="3"/>
        <v>6.083333333333333</v>
      </c>
    </row>
    <row r="19" spans="1:15" x14ac:dyDescent="0.3">
      <c r="A19" s="20">
        <v>259</v>
      </c>
      <c r="B19" s="16" t="s">
        <v>192</v>
      </c>
      <c r="C19" s="20" t="s">
        <v>5</v>
      </c>
      <c r="D19" s="20" t="s">
        <v>98</v>
      </c>
      <c r="E19" s="20" t="s">
        <v>59</v>
      </c>
      <c r="F19" s="20" t="s">
        <v>59</v>
      </c>
      <c r="G19" s="24" t="s">
        <v>72</v>
      </c>
      <c r="H19" s="29">
        <v>0</v>
      </c>
      <c r="I19" s="20"/>
      <c r="J19" s="29">
        <v>44871</v>
      </c>
      <c r="K19" s="29">
        <v>44911</v>
      </c>
      <c r="L19" s="21">
        <f t="shared" si="0"/>
        <v>29.533333333333335</v>
      </c>
      <c r="M19" s="21">
        <f t="shared" si="1"/>
        <v>0</v>
      </c>
      <c r="N19" s="21">
        <f t="shared" si="2"/>
        <v>0</v>
      </c>
      <c r="O19" s="21">
        <f t="shared" si="3"/>
        <v>6.083333333333333</v>
      </c>
    </row>
    <row r="20" spans="1:15" x14ac:dyDescent="0.3">
      <c r="A20" s="24">
        <v>399</v>
      </c>
      <c r="B20" s="25" t="s">
        <v>193</v>
      </c>
      <c r="C20" s="24" t="s">
        <v>5</v>
      </c>
      <c r="D20" s="24" t="s">
        <v>59</v>
      </c>
      <c r="E20" s="24" t="s">
        <v>59</v>
      </c>
      <c r="F20" s="24" t="s">
        <v>59</v>
      </c>
      <c r="G20" s="24" t="s">
        <v>59</v>
      </c>
      <c r="H20" s="29">
        <v>0</v>
      </c>
      <c r="I20" s="20"/>
      <c r="J20" s="29">
        <v>45659</v>
      </c>
      <c r="K20" s="29">
        <v>45751</v>
      </c>
      <c r="L20" s="21">
        <f t="shared" si="0"/>
        <v>0</v>
      </c>
      <c r="M20" s="21">
        <f t="shared" si="1"/>
        <v>0</v>
      </c>
      <c r="N20" s="21">
        <f t="shared" si="2"/>
        <v>0</v>
      </c>
      <c r="O20" s="21">
        <f t="shared" si="3"/>
        <v>0</v>
      </c>
    </row>
    <row r="21" spans="1:15" x14ac:dyDescent="0.3">
      <c r="A21" s="24">
        <v>43</v>
      </c>
      <c r="B21" s="25" t="s">
        <v>194</v>
      </c>
      <c r="C21" s="24" t="s">
        <v>5</v>
      </c>
      <c r="D21" s="24" t="s">
        <v>99</v>
      </c>
      <c r="E21" s="24" t="s">
        <v>81</v>
      </c>
      <c r="F21" s="24" t="s">
        <v>59</v>
      </c>
      <c r="G21" s="24" t="s">
        <v>66</v>
      </c>
      <c r="H21" s="29">
        <v>0</v>
      </c>
      <c r="I21" s="24"/>
      <c r="J21" s="45">
        <v>42103</v>
      </c>
      <c r="K21" s="45">
        <v>42205</v>
      </c>
      <c r="L21" s="21">
        <f t="shared" si="0"/>
        <v>13.233333333333333</v>
      </c>
      <c r="M21" s="21">
        <f t="shared" si="1"/>
        <v>18.333333333333332</v>
      </c>
      <c r="N21" s="21">
        <f t="shared" si="2"/>
        <v>0</v>
      </c>
      <c r="O21" s="21">
        <f t="shared" si="3"/>
        <v>6.05</v>
      </c>
    </row>
    <row r="22" spans="1:15" x14ac:dyDescent="0.3">
      <c r="A22" s="24">
        <v>445</v>
      </c>
      <c r="B22" s="25" t="s">
        <v>195</v>
      </c>
      <c r="C22" s="24" t="s">
        <v>5</v>
      </c>
      <c r="D22" s="20" t="s">
        <v>100</v>
      </c>
      <c r="E22" s="20" t="s">
        <v>59</v>
      </c>
      <c r="F22" s="20" t="s">
        <v>59</v>
      </c>
      <c r="G22" s="24" t="s">
        <v>71</v>
      </c>
      <c r="H22" s="29">
        <v>0</v>
      </c>
      <c r="I22" s="20"/>
      <c r="J22" s="29">
        <v>45880</v>
      </c>
      <c r="K22" s="29">
        <v>45918</v>
      </c>
      <c r="L22" s="21">
        <f t="shared" si="0"/>
        <v>31.233333333333334</v>
      </c>
      <c r="M22" s="21">
        <f t="shared" si="1"/>
        <v>0</v>
      </c>
      <c r="N22" s="21">
        <f t="shared" si="2"/>
        <v>0</v>
      </c>
      <c r="O22" s="21">
        <f t="shared" si="3"/>
        <v>6.0666666666666664</v>
      </c>
    </row>
    <row r="23" spans="1:15" x14ac:dyDescent="0.3">
      <c r="A23" s="24">
        <v>496</v>
      </c>
      <c r="B23" s="25" t="s">
        <v>196</v>
      </c>
      <c r="C23" s="24" t="s">
        <v>5</v>
      </c>
      <c r="D23" s="24" t="s">
        <v>80</v>
      </c>
      <c r="E23" s="24" t="s">
        <v>59</v>
      </c>
      <c r="F23" s="24" t="s">
        <v>59</v>
      </c>
      <c r="G23" s="24" t="s">
        <v>73</v>
      </c>
      <c r="H23" s="29">
        <v>0</v>
      </c>
      <c r="I23" s="24"/>
      <c r="J23" s="45">
        <v>46114</v>
      </c>
      <c r="K23" s="45">
        <v>46175</v>
      </c>
      <c r="L23" s="21">
        <f t="shared" si="0"/>
        <v>16.216666666666665</v>
      </c>
      <c r="M23" s="21">
        <f t="shared" si="1"/>
        <v>0</v>
      </c>
      <c r="N23" s="21">
        <f t="shared" si="2"/>
        <v>0</v>
      </c>
      <c r="O23" s="21">
        <f t="shared" si="3"/>
        <v>6.0166666666666666</v>
      </c>
    </row>
    <row r="24" spans="1:15" x14ac:dyDescent="0.3">
      <c r="A24" s="24">
        <v>481</v>
      </c>
      <c r="B24" s="25" t="s">
        <v>197</v>
      </c>
      <c r="C24" s="24" t="s">
        <v>5</v>
      </c>
      <c r="D24" s="20" t="s">
        <v>101</v>
      </c>
      <c r="E24" s="20" t="s">
        <v>102</v>
      </c>
      <c r="F24" s="20" t="s">
        <v>59</v>
      </c>
      <c r="G24" s="24" t="s">
        <v>67</v>
      </c>
      <c r="H24" s="29">
        <v>0</v>
      </c>
      <c r="I24" s="20"/>
      <c r="J24" s="29">
        <v>46061</v>
      </c>
      <c r="K24" s="29">
        <v>46086</v>
      </c>
      <c r="L24" s="21">
        <f t="shared" si="0"/>
        <v>3.75</v>
      </c>
      <c r="M24" s="21">
        <f t="shared" si="1"/>
        <v>2.8333333333333335</v>
      </c>
      <c r="N24" s="21">
        <f t="shared" si="2"/>
        <v>0</v>
      </c>
      <c r="O24" s="21">
        <f t="shared" si="3"/>
        <v>6.0333333333333332</v>
      </c>
    </row>
    <row r="25" spans="1:15" x14ac:dyDescent="0.3">
      <c r="A25" s="24">
        <v>264</v>
      </c>
      <c r="B25" s="25" t="s">
        <v>198</v>
      </c>
      <c r="C25" s="24" t="s">
        <v>5</v>
      </c>
      <c r="D25" s="24" t="s">
        <v>103</v>
      </c>
      <c r="E25" s="24" t="s">
        <v>104</v>
      </c>
      <c r="F25" s="24" t="s">
        <v>59</v>
      </c>
      <c r="G25" s="24" t="s">
        <v>75</v>
      </c>
      <c r="H25" s="29">
        <v>0</v>
      </c>
      <c r="I25" s="24"/>
      <c r="J25" s="45">
        <v>44980</v>
      </c>
      <c r="K25" s="45">
        <v>45078</v>
      </c>
      <c r="L25" s="21">
        <f t="shared" si="0"/>
        <v>15.166666666666666</v>
      </c>
      <c r="M25" s="21">
        <f t="shared" si="1"/>
        <v>9.6666666666666661</v>
      </c>
      <c r="N25" s="21">
        <f t="shared" si="2"/>
        <v>0</v>
      </c>
      <c r="O25" s="21">
        <f t="shared" si="3"/>
        <v>6.1</v>
      </c>
    </row>
    <row r="26" spans="1:15" x14ac:dyDescent="0.3">
      <c r="A26" s="24">
        <v>518</v>
      </c>
      <c r="B26" s="25" t="s">
        <v>199</v>
      </c>
      <c r="C26" s="24" t="s">
        <v>15</v>
      </c>
      <c r="D26" s="24" t="s">
        <v>162</v>
      </c>
      <c r="E26" s="24" t="s">
        <v>139</v>
      </c>
      <c r="F26" s="24" t="s">
        <v>59</v>
      </c>
      <c r="G26" s="24" t="s">
        <v>71</v>
      </c>
      <c r="H26" s="29">
        <v>0</v>
      </c>
      <c r="I26" s="20"/>
      <c r="J26" s="29">
        <v>46183</v>
      </c>
      <c r="K26" s="29">
        <v>0</v>
      </c>
      <c r="L26" s="21">
        <f t="shared" si="0"/>
        <v>16.233333333333334</v>
      </c>
      <c r="M26" s="21">
        <f t="shared" si="1"/>
        <v>3.1666666666666665</v>
      </c>
      <c r="N26" s="21">
        <f t="shared" si="2"/>
        <v>0</v>
      </c>
      <c r="O26" s="21">
        <f t="shared" si="3"/>
        <v>6.0666666666666664</v>
      </c>
    </row>
    <row r="27" spans="1:15" x14ac:dyDescent="0.3">
      <c r="A27" s="20">
        <v>346</v>
      </c>
      <c r="B27" s="16" t="s">
        <v>200</v>
      </c>
      <c r="C27" s="20" t="s">
        <v>5</v>
      </c>
      <c r="D27" s="20" t="s">
        <v>105</v>
      </c>
      <c r="E27" s="20" t="s">
        <v>106</v>
      </c>
      <c r="F27" s="20" t="s">
        <v>59</v>
      </c>
      <c r="G27" s="24" t="s">
        <v>72</v>
      </c>
      <c r="H27" s="29">
        <v>0</v>
      </c>
      <c r="I27" s="20"/>
      <c r="J27" s="29">
        <v>45433</v>
      </c>
      <c r="K27" s="29">
        <v>45512</v>
      </c>
      <c r="L27" s="21">
        <f t="shared" si="0"/>
        <v>13.55</v>
      </c>
      <c r="M27" s="21">
        <f t="shared" si="1"/>
        <v>14.216666666666667</v>
      </c>
      <c r="N27" s="21">
        <f t="shared" si="2"/>
        <v>0</v>
      </c>
      <c r="O27" s="21">
        <f t="shared" si="3"/>
        <v>6.083333333333333</v>
      </c>
    </row>
    <row r="28" spans="1:15" x14ac:dyDescent="0.3">
      <c r="A28" s="24">
        <v>174</v>
      </c>
      <c r="B28" s="16" t="s">
        <v>201</v>
      </c>
      <c r="C28" s="24" t="s">
        <v>5</v>
      </c>
      <c r="D28" s="20" t="s">
        <v>59</v>
      </c>
      <c r="E28" s="20" t="s">
        <v>59</v>
      </c>
      <c r="F28" s="20" t="s">
        <v>59</v>
      </c>
      <c r="G28" s="20" t="s">
        <v>59</v>
      </c>
      <c r="H28" s="29">
        <v>0</v>
      </c>
      <c r="I28" s="20" t="s">
        <v>77</v>
      </c>
      <c r="J28" s="29">
        <v>43599</v>
      </c>
      <c r="K28" s="29">
        <v>44075</v>
      </c>
      <c r="L28" s="21">
        <f t="shared" si="0"/>
        <v>0</v>
      </c>
      <c r="M28" s="21">
        <f t="shared" si="1"/>
        <v>0</v>
      </c>
      <c r="N28" s="21">
        <f t="shared" si="2"/>
        <v>0</v>
      </c>
      <c r="O28" s="21">
        <f t="shared" si="3"/>
        <v>0</v>
      </c>
    </row>
    <row r="29" spans="1:15" x14ac:dyDescent="0.3">
      <c r="A29" s="24">
        <v>506</v>
      </c>
      <c r="B29" s="25" t="s">
        <v>202</v>
      </c>
      <c r="C29" s="24" t="s">
        <v>5</v>
      </c>
      <c r="D29" s="24" t="s">
        <v>107</v>
      </c>
      <c r="E29" s="24" t="s">
        <v>59</v>
      </c>
      <c r="F29" s="24" t="s">
        <v>59</v>
      </c>
      <c r="G29" s="24" t="s">
        <v>72</v>
      </c>
      <c r="H29" s="29">
        <v>0</v>
      </c>
      <c r="I29" s="20"/>
      <c r="J29" s="29">
        <v>46143</v>
      </c>
      <c r="K29" s="29" t="s">
        <v>108</v>
      </c>
      <c r="L29" s="21">
        <f t="shared" si="0"/>
        <v>9.9499999999999993</v>
      </c>
      <c r="M29" s="21">
        <f t="shared" si="1"/>
        <v>0</v>
      </c>
      <c r="N29" s="21">
        <f t="shared" si="2"/>
        <v>0</v>
      </c>
      <c r="O29" s="21">
        <f t="shared" si="3"/>
        <v>6.083333333333333</v>
      </c>
    </row>
    <row r="30" spans="1:15" x14ac:dyDescent="0.3">
      <c r="A30" s="24">
        <v>129</v>
      </c>
      <c r="B30" s="25" t="s">
        <v>203</v>
      </c>
      <c r="C30" s="24" t="s">
        <v>5</v>
      </c>
      <c r="D30" s="24" t="s">
        <v>59</v>
      </c>
      <c r="E30" s="24" t="s">
        <v>59</v>
      </c>
      <c r="F30" s="24" t="s">
        <v>59</v>
      </c>
      <c r="G30" s="24" t="s">
        <v>59</v>
      </c>
      <c r="H30" s="29">
        <v>0</v>
      </c>
      <c r="I30" s="20"/>
      <c r="J30" s="29">
        <v>43074</v>
      </c>
      <c r="K30" s="29">
        <v>43132</v>
      </c>
      <c r="L30" s="21">
        <f t="shared" si="0"/>
        <v>0</v>
      </c>
      <c r="M30" s="21">
        <f t="shared" si="1"/>
        <v>0</v>
      </c>
      <c r="N30" s="21">
        <f t="shared" si="2"/>
        <v>0</v>
      </c>
      <c r="O30" s="21">
        <f t="shared" si="3"/>
        <v>0</v>
      </c>
    </row>
    <row r="31" spans="1:15" x14ac:dyDescent="0.3">
      <c r="A31" s="24">
        <v>374</v>
      </c>
      <c r="B31" s="25" t="s">
        <v>204</v>
      </c>
      <c r="C31" s="24" t="s">
        <v>5</v>
      </c>
      <c r="D31" s="24" t="s">
        <v>59</v>
      </c>
      <c r="E31" s="24" t="s">
        <v>59</v>
      </c>
      <c r="F31" s="24" t="s">
        <v>59</v>
      </c>
      <c r="G31" s="24" t="s">
        <v>66</v>
      </c>
      <c r="H31" s="29">
        <v>0</v>
      </c>
      <c r="I31" s="20"/>
      <c r="J31" s="29">
        <v>45548</v>
      </c>
      <c r="K31" s="29">
        <v>45722</v>
      </c>
      <c r="L31" s="21">
        <f t="shared" si="0"/>
        <v>0</v>
      </c>
      <c r="M31" s="21">
        <f t="shared" si="1"/>
        <v>0</v>
      </c>
      <c r="N31" s="21">
        <f t="shared" si="2"/>
        <v>0</v>
      </c>
      <c r="O31" s="21">
        <f t="shared" si="3"/>
        <v>6.05</v>
      </c>
    </row>
    <row r="32" spans="1:15" x14ac:dyDescent="0.3">
      <c r="A32" s="24">
        <v>474</v>
      </c>
      <c r="B32" s="25" t="s">
        <v>205</v>
      </c>
      <c r="C32" s="24" t="s">
        <v>5</v>
      </c>
      <c r="D32" s="24" t="s">
        <v>104</v>
      </c>
      <c r="E32" s="24" t="s">
        <v>109</v>
      </c>
      <c r="F32" s="24" t="s">
        <v>59</v>
      </c>
      <c r="G32" s="24" t="s">
        <v>71</v>
      </c>
      <c r="H32" s="29">
        <v>0</v>
      </c>
      <c r="I32" s="24"/>
      <c r="J32" s="45">
        <v>46031</v>
      </c>
      <c r="K32" s="45">
        <v>46084</v>
      </c>
      <c r="L32" s="21">
        <f t="shared" si="0"/>
        <v>9.6666666666666661</v>
      </c>
      <c r="M32" s="21">
        <f t="shared" si="1"/>
        <v>16.683333333333334</v>
      </c>
      <c r="N32" s="21">
        <f t="shared" si="2"/>
        <v>0</v>
      </c>
      <c r="O32" s="21">
        <f t="shared" si="3"/>
        <v>6.0666666666666664</v>
      </c>
    </row>
    <row r="33" spans="1:15" x14ac:dyDescent="0.3">
      <c r="A33" s="24">
        <v>84</v>
      </c>
      <c r="B33" s="25" t="s">
        <v>206</v>
      </c>
      <c r="C33" s="24" t="s">
        <v>5</v>
      </c>
      <c r="D33" s="24" t="s">
        <v>59</v>
      </c>
      <c r="E33" s="24" t="s">
        <v>59</v>
      </c>
      <c r="F33" s="24" t="s">
        <v>59</v>
      </c>
      <c r="G33" s="24" t="s">
        <v>59</v>
      </c>
      <c r="H33" s="29">
        <v>0</v>
      </c>
      <c r="I33" s="20"/>
      <c r="J33" s="29">
        <v>42676</v>
      </c>
      <c r="K33" s="29">
        <v>42892</v>
      </c>
      <c r="L33" s="21">
        <f t="shared" si="0"/>
        <v>0</v>
      </c>
      <c r="M33" s="21">
        <f t="shared" si="1"/>
        <v>0</v>
      </c>
      <c r="N33" s="21">
        <f t="shared" si="2"/>
        <v>0</v>
      </c>
      <c r="O33" s="21">
        <f t="shared" si="3"/>
        <v>0</v>
      </c>
    </row>
    <row r="34" spans="1:15" x14ac:dyDescent="0.3">
      <c r="A34" s="24">
        <v>272</v>
      </c>
      <c r="B34" s="16" t="s">
        <v>207</v>
      </c>
      <c r="C34" s="20" t="s">
        <v>5</v>
      </c>
      <c r="D34" s="20" t="s">
        <v>59</v>
      </c>
      <c r="E34" s="20" t="s">
        <v>110</v>
      </c>
      <c r="F34" s="20" t="s">
        <v>111</v>
      </c>
      <c r="G34" s="24" t="s">
        <v>66</v>
      </c>
      <c r="H34" s="29">
        <v>0</v>
      </c>
      <c r="I34" s="20"/>
      <c r="J34" s="29">
        <v>45008</v>
      </c>
      <c r="K34" s="29">
        <v>45062</v>
      </c>
      <c r="L34" s="21">
        <f t="shared" si="0"/>
        <v>0</v>
      </c>
      <c r="M34" s="21">
        <f t="shared" si="1"/>
        <v>22.533333333333335</v>
      </c>
      <c r="N34" s="21">
        <f t="shared" si="2"/>
        <v>32.700000000000003</v>
      </c>
      <c r="O34" s="21">
        <f t="shared" si="3"/>
        <v>6.05</v>
      </c>
    </row>
    <row r="35" spans="1:15" x14ac:dyDescent="0.3">
      <c r="A35" s="24">
        <v>485</v>
      </c>
      <c r="B35" s="25" t="s">
        <v>208</v>
      </c>
      <c r="C35" s="24" t="s">
        <v>5</v>
      </c>
      <c r="D35" s="24" t="s">
        <v>59</v>
      </c>
      <c r="E35" s="24" t="s">
        <v>59</v>
      </c>
      <c r="F35" s="24" t="s">
        <v>59</v>
      </c>
      <c r="G35" s="24" t="s">
        <v>71</v>
      </c>
      <c r="H35" s="29">
        <v>0</v>
      </c>
      <c r="I35" s="20"/>
      <c r="J35" s="29">
        <v>46082</v>
      </c>
      <c r="K35" s="29">
        <v>46100</v>
      </c>
      <c r="L35" s="21">
        <f t="shared" ref="L35:L66" si="4">IF(SEARCH("hs",D35)=2,VALUE(LEFT(D35,1)),VALUE(LEFT(D35,2)))+(VALUE(MID(D35,SEARCH("hs",D35)+3,SEARCH("min",D35)-(SEARCH("hs",D35)+3)))/60)</f>
        <v>0</v>
      </c>
      <c r="M35" s="21">
        <f t="shared" ref="M35:M66" si="5">IF(SEARCH("hs",E35)=2,VALUE(LEFT(E35,1)),VALUE(LEFT(E35,2)))+(VALUE(MID(E35,SEARCH("hs",E35)+3,SEARCH("min",E35)-(SEARCH("hs",E35)+3)))/60)</f>
        <v>0</v>
      </c>
      <c r="N35" s="21">
        <f t="shared" ref="N35:N66" si="6">IF(SEARCH("hs",F35)=2,VALUE(LEFT(F35,1)),VALUE(LEFT(F35,2)))+(VALUE(MID(F35,SEARCH("hs",F35)+3,SEARCH("min",F35)-(SEARCH("hs",F35)+3)))/60)</f>
        <v>0</v>
      </c>
      <c r="O35" s="21">
        <f t="shared" ref="O35:O66" si="7">IF(SEARCH("hs",G35)=2,VALUE(LEFT(G35,1)),VALUE(LEFT(G35,2)))+(VALUE(MID(G35,SEARCH("hs",G35)+3,SEARCH("min",G35)-(SEARCH("hs",G35)+3)))/60)</f>
        <v>6.0666666666666664</v>
      </c>
    </row>
    <row r="36" spans="1:15" x14ac:dyDescent="0.3">
      <c r="A36" s="24">
        <v>511</v>
      </c>
      <c r="B36" s="25" t="s">
        <v>209</v>
      </c>
      <c r="C36" s="24" t="s">
        <v>5</v>
      </c>
      <c r="D36" s="20" t="s">
        <v>59</v>
      </c>
      <c r="E36" s="20" t="s">
        <v>59</v>
      </c>
      <c r="F36" s="20" t="s">
        <v>112</v>
      </c>
      <c r="G36" s="24" t="s">
        <v>67</v>
      </c>
      <c r="H36" s="29">
        <v>0</v>
      </c>
      <c r="I36" s="20"/>
      <c r="J36" s="29">
        <v>46154</v>
      </c>
      <c r="K36" s="29">
        <v>46183</v>
      </c>
      <c r="L36" s="21">
        <f t="shared" si="4"/>
        <v>0</v>
      </c>
      <c r="M36" s="21">
        <f t="shared" si="5"/>
        <v>0</v>
      </c>
      <c r="N36" s="21">
        <f t="shared" si="6"/>
        <v>2.0499999999999998</v>
      </c>
      <c r="O36" s="21">
        <f t="shared" si="7"/>
        <v>6.0333333333333332</v>
      </c>
    </row>
    <row r="37" spans="1:15" x14ac:dyDescent="0.3">
      <c r="A37" s="24">
        <v>446</v>
      </c>
      <c r="B37" s="25" t="s">
        <v>210</v>
      </c>
      <c r="C37" s="24" t="s">
        <v>5</v>
      </c>
      <c r="D37" s="24" t="s">
        <v>59</v>
      </c>
      <c r="E37" s="24" t="s">
        <v>82</v>
      </c>
      <c r="F37" s="24" t="s">
        <v>59</v>
      </c>
      <c r="G37" s="24" t="s">
        <v>73</v>
      </c>
      <c r="H37" s="29">
        <v>0</v>
      </c>
      <c r="I37" s="24"/>
      <c r="J37" s="45">
        <v>45882</v>
      </c>
      <c r="K37" s="45">
        <v>45908</v>
      </c>
      <c r="L37" s="21">
        <f t="shared" si="4"/>
        <v>0</v>
      </c>
      <c r="M37" s="21">
        <f t="shared" si="5"/>
        <v>12.5</v>
      </c>
      <c r="N37" s="21">
        <f t="shared" si="6"/>
        <v>0</v>
      </c>
      <c r="O37" s="21">
        <f t="shared" si="7"/>
        <v>6.0166666666666666</v>
      </c>
    </row>
    <row r="38" spans="1:15" x14ac:dyDescent="0.3">
      <c r="A38" s="24">
        <v>412</v>
      </c>
      <c r="B38" s="25" t="s">
        <v>211</v>
      </c>
      <c r="C38" s="24" t="s">
        <v>5</v>
      </c>
      <c r="D38" s="24" t="s">
        <v>113</v>
      </c>
      <c r="E38" s="24" t="s">
        <v>114</v>
      </c>
      <c r="F38" s="24" t="s">
        <v>59</v>
      </c>
      <c r="G38" s="24" t="s">
        <v>66</v>
      </c>
      <c r="H38" s="29">
        <v>0</v>
      </c>
      <c r="I38" s="20"/>
      <c r="J38" s="29">
        <v>45755</v>
      </c>
      <c r="K38" s="29">
        <v>45862</v>
      </c>
      <c r="L38" s="21">
        <f t="shared" si="4"/>
        <v>11.2</v>
      </c>
      <c r="M38" s="21">
        <f t="shared" si="5"/>
        <v>22.2</v>
      </c>
      <c r="N38" s="21">
        <f t="shared" si="6"/>
        <v>0</v>
      </c>
      <c r="O38" s="21">
        <f t="shared" si="7"/>
        <v>6.05</v>
      </c>
    </row>
    <row r="39" spans="1:15" x14ac:dyDescent="0.3">
      <c r="A39" s="24">
        <v>309</v>
      </c>
      <c r="B39" s="25" t="s">
        <v>212</v>
      </c>
      <c r="C39" s="24" t="s">
        <v>5</v>
      </c>
      <c r="D39" s="24" t="s">
        <v>115</v>
      </c>
      <c r="E39" s="24" t="s">
        <v>64</v>
      </c>
      <c r="F39" s="24" t="s">
        <v>59</v>
      </c>
      <c r="G39" s="24" t="s">
        <v>71</v>
      </c>
      <c r="H39" s="29">
        <v>0</v>
      </c>
      <c r="I39" s="20"/>
      <c r="J39" s="29">
        <v>45265</v>
      </c>
      <c r="K39" s="29">
        <v>45407</v>
      </c>
      <c r="L39" s="21">
        <f t="shared" si="4"/>
        <v>10.216666666666667</v>
      </c>
      <c r="M39" s="21">
        <f t="shared" si="5"/>
        <v>15.333333333333334</v>
      </c>
      <c r="N39" s="21">
        <f t="shared" si="6"/>
        <v>0</v>
      </c>
      <c r="O39" s="21">
        <f t="shared" si="7"/>
        <v>6.0666666666666664</v>
      </c>
    </row>
    <row r="40" spans="1:15" x14ac:dyDescent="0.3">
      <c r="A40" s="24">
        <v>515</v>
      </c>
      <c r="B40" s="16" t="s">
        <v>213</v>
      </c>
      <c r="C40" s="24" t="s">
        <v>15</v>
      </c>
      <c r="D40" s="20" t="s">
        <v>59</v>
      </c>
      <c r="E40" s="20" t="s">
        <v>116</v>
      </c>
      <c r="F40" s="20" t="s">
        <v>59</v>
      </c>
      <c r="G40" s="20" t="s">
        <v>71</v>
      </c>
      <c r="H40" s="29">
        <v>0</v>
      </c>
      <c r="I40" s="20"/>
      <c r="J40" s="29">
        <v>46162</v>
      </c>
      <c r="K40" s="29">
        <v>0</v>
      </c>
      <c r="L40" s="21">
        <f t="shared" si="4"/>
        <v>0</v>
      </c>
      <c r="M40" s="21">
        <f t="shared" si="5"/>
        <v>7.5666666666666664</v>
      </c>
      <c r="N40" s="21">
        <f t="shared" si="6"/>
        <v>0</v>
      </c>
      <c r="O40" s="21">
        <f t="shared" si="7"/>
        <v>6.0666666666666664</v>
      </c>
    </row>
    <row r="41" spans="1:15" x14ac:dyDescent="0.3">
      <c r="A41" s="24">
        <v>149</v>
      </c>
      <c r="B41" s="25" t="s">
        <v>214</v>
      </c>
      <c r="C41" s="24" t="s">
        <v>5</v>
      </c>
      <c r="D41" s="24" t="s">
        <v>117</v>
      </c>
      <c r="E41" s="24" t="s">
        <v>59</v>
      </c>
      <c r="F41" s="24" t="s">
        <v>59</v>
      </c>
      <c r="G41" s="24" t="s">
        <v>59</v>
      </c>
      <c r="H41" s="29">
        <v>0</v>
      </c>
      <c r="I41" s="24"/>
      <c r="J41" s="45">
        <v>43283</v>
      </c>
      <c r="K41" s="45">
        <v>43313</v>
      </c>
      <c r="L41" s="21">
        <f t="shared" si="4"/>
        <v>25.616666666666667</v>
      </c>
      <c r="M41" s="21">
        <f t="shared" si="5"/>
        <v>0</v>
      </c>
      <c r="N41" s="21">
        <f t="shared" si="6"/>
        <v>0</v>
      </c>
      <c r="O41" s="21">
        <f t="shared" si="7"/>
        <v>0</v>
      </c>
    </row>
    <row r="42" spans="1:15" x14ac:dyDescent="0.3">
      <c r="A42" s="24">
        <v>194</v>
      </c>
      <c r="B42" s="25" t="s">
        <v>215</v>
      </c>
      <c r="C42" s="24" t="s">
        <v>5</v>
      </c>
      <c r="D42" s="20" t="s">
        <v>118</v>
      </c>
      <c r="E42" s="20" t="s">
        <v>119</v>
      </c>
      <c r="F42" s="20" t="s">
        <v>59</v>
      </c>
      <c r="G42" s="24" t="s">
        <v>67</v>
      </c>
      <c r="H42" s="29">
        <v>0</v>
      </c>
      <c r="I42" s="20"/>
      <c r="J42" s="29">
        <v>44046</v>
      </c>
      <c r="K42" s="29">
        <v>44075</v>
      </c>
      <c r="L42" s="21">
        <f t="shared" si="4"/>
        <v>16.8</v>
      </c>
      <c r="M42" s="21">
        <f t="shared" si="5"/>
        <v>14.55</v>
      </c>
      <c r="N42" s="21">
        <f t="shared" si="6"/>
        <v>0</v>
      </c>
      <c r="O42" s="21">
        <f t="shared" si="7"/>
        <v>6.0333333333333332</v>
      </c>
    </row>
    <row r="43" spans="1:15" x14ac:dyDescent="0.3">
      <c r="A43" s="24">
        <v>508</v>
      </c>
      <c r="B43" s="25" t="s">
        <v>216</v>
      </c>
      <c r="C43" s="24" t="s">
        <v>15</v>
      </c>
      <c r="D43" s="24" t="s">
        <v>59</v>
      </c>
      <c r="E43" s="24" t="s">
        <v>59</v>
      </c>
      <c r="F43" s="24" t="s">
        <v>59</v>
      </c>
      <c r="G43" s="24" t="s">
        <v>59</v>
      </c>
      <c r="H43" s="29">
        <v>46150</v>
      </c>
      <c r="I43" s="24"/>
      <c r="J43" s="45">
        <v>46144</v>
      </c>
      <c r="K43" s="45">
        <v>0</v>
      </c>
      <c r="L43" s="21">
        <f t="shared" si="4"/>
        <v>0</v>
      </c>
      <c r="M43" s="21">
        <f t="shared" si="5"/>
        <v>0</v>
      </c>
      <c r="N43" s="21">
        <f t="shared" si="6"/>
        <v>0</v>
      </c>
      <c r="O43" s="21">
        <f t="shared" si="7"/>
        <v>0</v>
      </c>
    </row>
    <row r="44" spans="1:15" x14ac:dyDescent="0.3">
      <c r="A44" s="24">
        <v>82</v>
      </c>
      <c r="B44" s="16" t="s">
        <v>217</v>
      </c>
      <c r="C44" s="24" t="s">
        <v>5</v>
      </c>
      <c r="D44" s="20" t="s">
        <v>59</v>
      </c>
      <c r="E44" s="20" t="s">
        <v>59</v>
      </c>
      <c r="F44" s="20" t="s">
        <v>59</v>
      </c>
      <c r="G44" s="20" t="s">
        <v>73</v>
      </c>
      <c r="H44" s="29">
        <v>0</v>
      </c>
      <c r="I44" s="20"/>
      <c r="J44" s="29">
        <v>42667</v>
      </c>
      <c r="K44" s="29">
        <v>42781</v>
      </c>
      <c r="L44" s="21">
        <f t="shared" si="4"/>
        <v>0</v>
      </c>
      <c r="M44" s="21">
        <f t="shared" si="5"/>
        <v>0</v>
      </c>
      <c r="N44" s="21">
        <f t="shared" si="6"/>
        <v>0</v>
      </c>
      <c r="O44" s="21">
        <f t="shared" si="7"/>
        <v>6.0166666666666666</v>
      </c>
    </row>
    <row r="45" spans="1:15" x14ac:dyDescent="0.3">
      <c r="A45" s="24">
        <v>510</v>
      </c>
      <c r="B45" s="25" t="s">
        <v>218</v>
      </c>
      <c r="C45" s="24" t="s">
        <v>5</v>
      </c>
      <c r="D45" s="24" t="s">
        <v>120</v>
      </c>
      <c r="E45" s="24" t="s">
        <v>121</v>
      </c>
      <c r="F45" s="24" t="s">
        <v>59</v>
      </c>
      <c r="G45" s="24" t="s">
        <v>71</v>
      </c>
      <c r="H45" s="29">
        <v>0</v>
      </c>
      <c r="I45" s="20"/>
      <c r="J45" s="29">
        <v>46148</v>
      </c>
      <c r="K45" s="29">
        <v>46163</v>
      </c>
      <c r="L45" s="21">
        <f t="shared" si="4"/>
        <v>23.166666666666668</v>
      </c>
      <c r="M45" s="21">
        <f t="shared" si="5"/>
        <v>3.6666666666666665</v>
      </c>
      <c r="N45" s="21">
        <f t="shared" si="6"/>
        <v>0</v>
      </c>
      <c r="O45" s="21">
        <f t="shared" si="7"/>
        <v>6.0666666666666664</v>
      </c>
    </row>
    <row r="46" spans="1:15" x14ac:dyDescent="0.3">
      <c r="A46" s="24">
        <v>372</v>
      </c>
      <c r="B46" s="25" t="s">
        <v>219</v>
      </c>
      <c r="C46" s="24" t="s">
        <v>5</v>
      </c>
      <c r="D46" s="24" t="s">
        <v>59</v>
      </c>
      <c r="E46" s="24" t="s">
        <v>59</v>
      </c>
      <c r="F46" s="24" t="s">
        <v>59</v>
      </c>
      <c r="G46" s="24" t="s">
        <v>59</v>
      </c>
      <c r="H46" s="29">
        <v>0</v>
      </c>
      <c r="I46" s="20"/>
      <c r="J46" s="29">
        <v>45543</v>
      </c>
      <c r="K46" s="29">
        <v>45679</v>
      </c>
      <c r="L46" s="21">
        <f t="shared" si="4"/>
        <v>0</v>
      </c>
      <c r="M46" s="21">
        <f t="shared" si="5"/>
        <v>0</v>
      </c>
      <c r="N46" s="21">
        <f t="shared" si="6"/>
        <v>0</v>
      </c>
      <c r="O46" s="21">
        <f t="shared" si="7"/>
        <v>0</v>
      </c>
    </row>
    <row r="47" spans="1:15" x14ac:dyDescent="0.3">
      <c r="A47" s="24">
        <v>500</v>
      </c>
      <c r="B47" s="25" t="s">
        <v>220</v>
      </c>
      <c r="C47" s="24" t="s">
        <v>5</v>
      </c>
      <c r="D47" s="20" t="s">
        <v>122</v>
      </c>
      <c r="E47" s="20" t="s">
        <v>123</v>
      </c>
      <c r="F47" s="24" t="s">
        <v>59</v>
      </c>
      <c r="G47" s="24" t="s">
        <v>71</v>
      </c>
      <c r="H47" s="29">
        <v>0</v>
      </c>
      <c r="I47" s="20"/>
      <c r="J47" s="29">
        <v>46118</v>
      </c>
      <c r="K47" s="29">
        <v>46163</v>
      </c>
      <c r="L47" s="21">
        <f t="shared" si="4"/>
        <v>15.066666666666666</v>
      </c>
      <c r="M47" s="21">
        <f t="shared" si="5"/>
        <v>13.016666666666667</v>
      </c>
      <c r="N47" s="21">
        <f t="shared" si="6"/>
        <v>0</v>
      </c>
      <c r="O47" s="21">
        <f t="shared" si="7"/>
        <v>6.0666666666666664</v>
      </c>
    </row>
    <row r="48" spans="1:15" x14ac:dyDescent="0.3">
      <c r="A48" s="24">
        <v>336</v>
      </c>
      <c r="B48" s="25" t="s">
        <v>221</v>
      </c>
      <c r="C48" s="24" t="s">
        <v>5</v>
      </c>
      <c r="D48" s="24" t="s">
        <v>59</v>
      </c>
      <c r="E48" s="24" t="s">
        <v>59</v>
      </c>
      <c r="F48" s="24" t="s">
        <v>59</v>
      </c>
      <c r="G48" s="24" t="s">
        <v>59</v>
      </c>
      <c r="H48" s="29">
        <v>0</v>
      </c>
      <c r="I48" s="20"/>
      <c r="J48" s="29">
        <v>45418</v>
      </c>
      <c r="K48" s="29">
        <v>45566</v>
      </c>
      <c r="L48" s="21">
        <f t="shared" si="4"/>
        <v>0</v>
      </c>
      <c r="M48" s="21">
        <f t="shared" si="5"/>
        <v>0</v>
      </c>
      <c r="N48" s="21">
        <f t="shared" si="6"/>
        <v>0</v>
      </c>
      <c r="O48" s="21">
        <f t="shared" si="7"/>
        <v>0</v>
      </c>
    </row>
    <row r="49" spans="1:15" x14ac:dyDescent="0.3">
      <c r="A49" s="24">
        <v>256</v>
      </c>
      <c r="B49" s="16" t="s">
        <v>222</v>
      </c>
      <c r="C49" s="24" t="s">
        <v>5</v>
      </c>
      <c r="D49" s="20" t="s">
        <v>124</v>
      </c>
      <c r="E49" s="20" t="s">
        <v>125</v>
      </c>
      <c r="F49" s="20" t="s">
        <v>59</v>
      </c>
      <c r="G49" s="20" t="s">
        <v>72</v>
      </c>
      <c r="H49" s="29">
        <v>0</v>
      </c>
      <c r="I49" s="20"/>
      <c r="J49" s="29">
        <v>44858</v>
      </c>
      <c r="K49" s="29">
        <v>44958</v>
      </c>
      <c r="L49" s="21">
        <f t="shared" si="4"/>
        <v>7.5</v>
      </c>
      <c r="M49" s="21">
        <f t="shared" si="5"/>
        <v>9.7166666666666668</v>
      </c>
      <c r="N49" s="21">
        <f t="shared" si="6"/>
        <v>0</v>
      </c>
      <c r="O49" s="21">
        <f t="shared" si="7"/>
        <v>6.083333333333333</v>
      </c>
    </row>
    <row r="50" spans="1:15" x14ac:dyDescent="0.3">
      <c r="A50" s="24">
        <v>229</v>
      </c>
      <c r="B50" s="25" t="s">
        <v>223</v>
      </c>
      <c r="C50" s="24" t="s">
        <v>5</v>
      </c>
      <c r="D50" s="24" t="s">
        <v>59</v>
      </c>
      <c r="E50" s="24" t="s">
        <v>59</v>
      </c>
      <c r="F50" s="24" t="s">
        <v>59</v>
      </c>
      <c r="G50" s="24" t="s">
        <v>59</v>
      </c>
      <c r="H50" s="29">
        <v>0</v>
      </c>
      <c r="I50" s="20"/>
      <c r="J50" s="29">
        <v>44590</v>
      </c>
      <c r="K50" s="29">
        <v>44790</v>
      </c>
      <c r="L50" s="21">
        <f t="shared" si="4"/>
        <v>0</v>
      </c>
      <c r="M50" s="21">
        <f t="shared" si="5"/>
        <v>0</v>
      </c>
      <c r="N50" s="21">
        <f t="shared" si="6"/>
        <v>0</v>
      </c>
      <c r="O50" s="21">
        <f t="shared" si="7"/>
        <v>0</v>
      </c>
    </row>
    <row r="51" spans="1:15" x14ac:dyDescent="0.3">
      <c r="A51" s="24">
        <v>398</v>
      </c>
      <c r="B51" s="25" t="s">
        <v>224</v>
      </c>
      <c r="C51" s="24" t="s">
        <v>5</v>
      </c>
      <c r="D51" s="24" t="s">
        <v>59</v>
      </c>
      <c r="E51" s="24" t="s">
        <v>59</v>
      </c>
      <c r="F51" s="24" t="s">
        <v>59</v>
      </c>
      <c r="G51" s="24" t="s">
        <v>59</v>
      </c>
      <c r="H51" s="29">
        <v>0</v>
      </c>
      <c r="I51" s="20"/>
      <c r="J51" s="29">
        <v>45667</v>
      </c>
      <c r="K51" s="29">
        <v>45736</v>
      </c>
      <c r="L51" s="21">
        <f t="shared" si="4"/>
        <v>0</v>
      </c>
      <c r="M51" s="21">
        <f t="shared" si="5"/>
        <v>0</v>
      </c>
      <c r="N51" s="21">
        <f t="shared" si="6"/>
        <v>0</v>
      </c>
      <c r="O51" s="21">
        <f t="shared" si="7"/>
        <v>0</v>
      </c>
    </row>
    <row r="52" spans="1:15" x14ac:dyDescent="0.3">
      <c r="A52" s="24">
        <v>406</v>
      </c>
      <c r="B52" s="25" t="s">
        <v>225</v>
      </c>
      <c r="C52" s="24" t="s">
        <v>5</v>
      </c>
      <c r="D52" s="24" t="s">
        <v>59</v>
      </c>
      <c r="E52" s="24" t="s">
        <v>59</v>
      </c>
      <c r="F52" s="24" t="s">
        <v>126</v>
      </c>
      <c r="G52" s="24" t="s">
        <v>67</v>
      </c>
      <c r="H52" s="29">
        <v>0</v>
      </c>
      <c r="I52" s="20"/>
      <c r="J52" s="29">
        <v>45741</v>
      </c>
      <c r="K52" s="29">
        <v>45840</v>
      </c>
      <c r="L52" s="21">
        <f t="shared" si="4"/>
        <v>0</v>
      </c>
      <c r="M52" s="21">
        <f t="shared" si="5"/>
        <v>0</v>
      </c>
      <c r="N52" s="21">
        <f t="shared" si="6"/>
        <v>2.2999999999999998</v>
      </c>
      <c r="O52" s="21">
        <f t="shared" si="7"/>
        <v>6.0333333333333332</v>
      </c>
    </row>
    <row r="53" spans="1:15" x14ac:dyDescent="0.3">
      <c r="A53" s="24">
        <v>187</v>
      </c>
      <c r="B53" s="25" t="s">
        <v>226</v>
      </c>
      <c r="C53" s="24" t="s">
        <v>5</v>
      </c>
      <c r="D53" s="24" t="s">
        <v>127</v>
      </c>
      <c r="E53" s="24" t="s">
        <v>128</v>
      </c>
      <c r="F53" s="24" t="s">
        <v>59</v>
      </c>
      <c r="G53" s="24" t="s">
        <v>73</v>
      </c>
      <c r="H53" s="29">
        <v>0</v>
      </c>
      <c r="I53" s="20"/>
      <c r="J53" s="29">
        <v>43770</v>
      </c>
      <c r="K53" s="29">
        <v>44075</v>
      </c>
      <c r="L53" s="21">
        <f t="shared" si="4"/>
        <v>16.166666666666668</v>
      </c>
      <c r="M53" s="21">
        <f t="shared" si="5"/>
        <v>10.5</v>
      </c>
      <c r="N53" s="21">
        <f t="shared" si="6"/>
        <v>0</v>
      </c>
      <c r="O53" s="21">
        <f t="shared" si="7"/>
        <v>6.0166666666666666</v>
      </c>
    </row>
    <row r="54" spans="1:15" x14ac:dyDescent="0.3">
      <c r="A54" s="16">
        <v>321</v>
      </c>
      <c r="B54" s="16" t="s">
        <v>227</v>
      </c>
      <c r="C54" s="20" t="s">
        <v>5</v>
      </c>
      <c r="D54" s="20" t="s">
        <v>129</v>
      </c>
      <c r="E54" s="20" t="s">
        <v>130</v>
      </c>
      <c r="F54" s="20" t="s">
        <v>59</v>
      </c>
      <c r="G54" s="24" t="s">
        <v>73</v>
      </c>
      <c r="H54" s="29">
        <v>0</v>
      </c>
      <c r="I54" s="20"/>
      <c r="J54" s="29">
        <v>45340</v>
      </c>
      <c r="K54" s="29">
        <v>45435</v>
      </c>
      <c r="L54" s="21">
        <f t="shared" si="4"/>
        <v>29.583333333333332</v>
      </c>
      <c r="M54" s="21">
        <f t="shared" si="5"/>
        <v>1.6666666666666665</v>
      </c>
      <c r="N54" s="21">
        <f t="shared" si="6"/>
        <v>0</v>
      </c>
      <c r="O54" s="21">
        <f t="shared" si="7"/>
        <v>6.0166666666666666</v>
      </c>
    </row>
    <row r="55" spans="1:15" x14ac:dyDescent="0.3">
      <c r="A55" s="24">
        <v>523</v>
      </c>
      <c r="B55" s="25" t="s">
        <v>228</v>
      </c>
      <c r="C55" s="24" t="s">
        <v>15</v>
      </c>
      <c r="D55" s="24" t="s">
        <v>169</v>
      </c>
      <c r="E55" s="24" t="s">
        <v>170</v>
      </c>
      <c r="F55" s="24" t="s">
        <v>59</v>
      </c>
      <c r="G55" s="24" t="s">
        <v>73</v>
      </c>
      <c r="H55" s="29">
        <v>0</v>
      </c>
      <c r="I55" s="20"/>
      <c r="J55" s="29">
        <v>46192</v>
      </c>
      <c r="K55" s="29">
        <v>0</v>
      </c>
      <c r="L55" s="21">
        <f t="shared" si="4"/>
        <v>7.666666666666667</v>
      </c>
      <c r="M55" s="21">
        <f t="shared" si="5"/>
        <v>5.833333333333333</v>
      </c>
      <c r="N55" s="21">
        <f t="shared" si="6"/>
        <v>0</v>
      </c>
      <c r="O55" s="21">
        <f t="shared" si="7"/>
        <v>6.0166666666666666</v>
      </c>
    </row>
    <row r="56" spans="1:15" x14ac:dyDescent="0.3">
      <c r="A56" s="24">
        <v>311</v>
      </c>
      <c r="B56" s="25" t="s">
        <v>229</v>
      </c>
      <c r="C56" s="24" t="s">
        <v>5</v>
      </c>
      <c r="D56" s="24" t="s">
        <v>59</v>
      </c>
      <c r="E56" s="24" t="s">
        <v>131</v>
      </c>
      <c r="F56" s="24" t="s">
        <v>132</v>
      </c>
      <c r="G56" s="24" t="s">
        <v>73</v>
      </c>
      <c r="H56" s="29">
        <v>0</v>
      </c>
      <c r="I56" s="20"/>
      <c r="J56" s="29">
        <v>45292</v>
      </c>
      <c r="K56" s="29">
        <v>45446</v>
      </c>
      <c r="L56" s="21">
        <f t="shared" si="4"/>
        <v>0</v>
      </c>
      <c r="M56" s="21">
        <f t="shared" si="5"/>
        <v>11.566666666666666</v>
      </c>
      <c r="N56" s="21">
        <f t="shared" si="6"/>
        <v>6.9</v>
      </c>
      <c r="O56" s="21">
        <f t="shared" si="7"/>
        <v>6.0166666666666666</v>
      </c>
    </row>
    <row r="57" spans="1:15" x14ac:dyDescent="0.3">
      <c r="A57" s="24">
        <v>369</v>
      </c>
      <c r="B57" s="25" t="s">
        <v>230</v>
      </c>
      <c r="C57" s="24" t="s">
        <v>5</v>
      </c>
      <c r="D57" s="24" t="s">
        <v>59</v>
      </c>
      <c r="E57" s="24" t="s">
        <v>59</v>
      </c>
      <c r="F57" s="24" t="s">
        <v>59</v>
      </c>
      <c r="G57" s="24" t="s">
        <v>59</v>
      </c>
      <c r="H57" s="29">
        <v>0</v>
      </c>
      <c r="I57" s="20"/>
      <c r="J57" s="29">
        <v>45540</v>
      </c>
      <c r="K57" s="29">
        <v>45736</v>
      </c>
      <c r="L57" s="21">
        <f t="shared" si="4"/>
        <v>0</v>
      </c>
      <c r="M57" s="21">
        <f t="shared" si="5"/>
        <v>0</v>
      </c>
      <c r="N57" s="21">
        <f t="shared" si="6"/>
        <v>0</v>
      </c>
      <c r="O57" s="21">
        <f t="shared" si="7"/>
        <v>0</v>
      </c>
    </row>
    <row r="58" spans="1:15" x14ac:dyDescent="0.3">
      <c r="A58" s="24">
        <v>101</v>
      </c>
      <c r="B58" s="25" t="s">
        <v>231</v>
      </c>
      <c r="C58" s="24" t="s">
        <v>5</v>
      </c>
      <c r="D58" s="24" t="s">
        <v>59</v>
      </c>
      <c r="E58" s="24" t="s">
        <v>59</v>
      </c>
      <c r="F58" s="24" t="s">
        <v>59</v>
      </c>
      <c r="G58" s="24" t="s">
        <v>59</v>
      </c>
      <c r="H58" s="29">
        <v>0</v>
      </c>
      <c r="I58" s="20"/>
      <c r="J58" s="29">
        <v>41990</v>
      </c>
      <c r="K58" s="29">
        <v>42644</v>
      </c>
      <c r="L58" s="21">
        <f t="shared" si="4"/>
        <v>0</v>
      </c>
      <c r="M58" s="21">
        <f t="shared" si="5"/>
        <v>0</v>
      </c>
      <c r="N58" s="21">
        <f t="shared" si="6"/>
        <v>0</v>
      </c>
      <c r="O58" s="21">
        <f t="shared" si="7"/>
        <v>0</v>
      </c>
    </row>
    <row r="59" spans="1:15" x14ac:dyDescent="0.3">
      <c r="A59" s="24">
        <v>266</v>
      </c>
      <c r="B59" s="25" t="s">
        <v>232</v>
      </c>
      <c r="C59" s="24" t="s">
        <v>5</v>
      </c>
      <c r="D59" s="24" t="s">
        <v>59</v>
      </c>
      <c r="E59" s="24" t="s">
        <v>59</v>
      </c>
      <c r="F59" s="24" t="s">
        <v>59</v>
      </c>
      <c r="G59" s="24" t="s">
        <v>59</v>
      </c>
      <c r="H59" s="29">
        <v>0</v>
      </c>
      <c r="I59" s="20"/>
      <c r="J59" s="29">
        <v>44977</v>
      </c>
      <c r="K59" s="29">
        <v>45062</v>
      </c>
      <c r="L59" s="21">
        <f t="shared" si="4"/>
        <v>0</v>
      </c>
      <c r="M59" s="21">
        <f t="shared" si="5"/>
        <v>0</v>
      </c>
      <c r="N59" s="21">
        <f t="shared" si="6"/>
        <v>0</v>
      </c>
      <c r="O59" s="21">
        <f t="shared" si="7"/>
        <v>0</v>
      </c>
    </row>
    <row r="60" spans="1:15" x14ac:dyDescent="0.3">
      <c r="A60" s="24">
        <v>478</v>
      </c>
      <c r="B60" s="25" t="s">
        <v>233</v>
      </c>
      <c r="C60" s="20" t="s">
        <v>5</v>
      </c>
      <c r="D60" s="24" t="s">
        <v>133</v>
      </c>
      <c r="E60" s="24" t="s">
        <v>134</v>
      </c>
      <c r="F60" s="24" t="s">
        <v>59</v>
      </c>
      <c r="G60" s="24" t="s">
        <v>67</v>
      </c>
      <c r="H60" s="29">
        <v>0</v>
      </c>
      <c r="I60" s="20"/>
      <c r="J60" s="29">
        <v>46050</v>
      </c>
      <c r="K60" s="29">
        <v>46163</v>
      </c>
      <c r="L60" s="21">
        <f t="shared" si="4"/>
        <v>11.55</v>
      </c>
      <c r="M60" s="21">
        <f t="shared" si="5"/>
        <v>10.466666666666667</v>
      </c>
      <c r="N60" s="21">
        <f t="shared" si="6"/>
        <v>0</v>
      </c>
      <c r="O60" s="21">
        <f t="shared" si="7"/>
        <v>6.0333333333333332</v>
      </c>
    </row>
    <row r="61" spans="1:15" x14ac:dyDescent="0.3">
      <c r="A61" s="24">
        <v>519</v>
      </c>
      <c r="B61" s="25" t="s">
        <v>234</v>
      </c>
      <c r="C61" s="24" t="s">
        <v>15</v>
      </c>
      <c r="D61" s="24" t="s">
        <v>163</v>
      </c>
      <c r="E61" s="24" t="s">
        <v>164</v>
      </c>
      <c r="F61" s="24" t="s">
        <v>59</v>
      </c>
      <c r="G61" s="24" t="s">
        <v>73</v>
      </c>
      <c r="H61" s="29">
        <v>0</v>
      </c>
      <c r="I61" s="20"/>
      <c r="J61" s="29">
        <v>46188</v>
      </c>
      <c r="K61" s="29">
        <v>0</v>
      </c>
      <c r="L61" s="21">
        <f t="shared" si="4"/>
        <v>12.216666666666667</v>
      </c>
      <c r="M61" s="21">
        <f t="shared" si="5"/>
        <v>5.4833333333333334</v>
      </c>
      <c r="N61" s="21">
        <f t="shared" si="6"/>
        <v>0</v>
      </c>
      <c r="O61" s="21">
        <f t="shared" si="7"/>
        <v>6.0166666666666666</v>
      </c>
    </row>
    <row r="62" spans="1:15" x14ac:dyDescent="0.3">
      <c r="A62" s="24">
        <v>522</v>
      </c>
      <c r="B62" s="25" t="s">
        <v>235</v>
      </c>
      <c r="C62" s="24" t="s">
        <v>15</v>
      </c>
      <c r="D62" s="24" t="s">
        <v>78</v>
      </c>
      <c r="E62" s="24" t="s">
        <v>168</v>
      </c>
      <c r="F62" s="24" t="s">
        <v>59</v>
      </c>
      <c r="G62" s="24" t="s">
        <v>75</v>
      </c>
      <c r="H62" s="29">
        <v>0</v>
      </c>
      <c r="I62" s="20"/>
      <c r="J62" s="29">
        <v>46192</v>
      </c>
      <c r="K62" s="29">
        <v>0</v>
      </c>
      <c r="L62" s="21">
        <f t="shared" si="4"/>
        <v>7</v>
      </c>
      <c r="M62" s="21">
        <f t="shared" si="5"/>
        <v>3.2666666666666666</v>
      </c>
      <c r="N62" s="21">
        <f t="shared" si="6"/>
        <v>0</v>
      </c>
      <c r="O62" s="21">
        <f t="shared" si="7"/>
        <v>6.1</v>
      </c>
    </row>
    <row r="63" spans="1:15" x14ac:dyDescent="0.3">
      <c r="A63" s="24">
        <v>253</v>
      </c>
      <c r="B63" s="25" t="s">
        <v>236</v>
      </c>
      <c r="C63" s="24" t="s">
        <v>5</v>
      </c>
      <c r="D63" s="24" t="s">
        <v>59</v>
      </c>
      <c r="E63" s="24" t="s">
        <v>59</v>
      </c>
      <c r="F63" s="24" t="s">
        <v>135</v>
      </c>
      <c r="G63" s="24" t="s">
        <v>71</v>
      </c>
      <c r="H63" s="29">
        <v>0</v>
      </c>
      <c r="I63" s="24"/>
      <c r="J63" s="45">
        <v>44818</v>
      </c>
      <c r="K63" s="45">
        <v>44866</v>
      </c>
      <c r="L63" s="21">
        <f t="shared" si="4"/>
        <v>0</v>
      </c>
      <c r="M63" s="21">
        <f t="shared" si="5"/>
        <v>0</v>
      </c>
      <c r="N63" s="21">
        <f t="shared" si="6"/>
        <v>37.916666666666664</v>
      </c>
      <c r="O63" s="21">
        <f t="shared" si="7"/>
        <v>6.0666666666666664</v>
      </c>
    </row>
    <row r="64" spans="1:15" x14ac:dyDescent="0.3">
      <c r="A64" s="24">
        <v>521</v>
      </c>
      <c r="B64" s="16" t="s">
        <v>237</v>
      </c>
      <c r="C64" s="24" t="s">
        <v>15</v>
      </c>
      <c r="D64" s="20" t="s">
        <v>59</v>
      </c>
      <c r="E64" s="20" t="s">
        <v>59</v>
      </c>
      <c r="F64" s="20" t="s">
        <v>167</v>
      </c>
      <c r="G64" s="20" t="s">
        <v>67</v>
      </c>
      <c r="H64" s="29">
        <v>0</v>
      </c>
      <c r="I64" s="20"/>
      <c r="J64" s="29">
        <v>46190</v>
      </c>
      <c r="K64" s="29">
        <v>0</v>
      </c>
      <c r="L64" s="21">
        <f t="shared" si="4"/>
        <v>0</v>
      </c>
      <c r="M64" s="21">
        <f t="shared" si="5"/>
        <v>0</v>
      </c>
      <c r="N64" s="21">
        <f t="shared" si="6"/>
        <v>1.2666666666666666</v>
      </c>
      <c r="O64" s="21">
        <f t="shared" si="7"/>
        <v>6.0333333333333332</v>
      </c>
    </row>
    <row r="65" spans="1:15" x14ac:dyDescent="0.3">
      <c r="A65" s="24">
        <v>464</v>
      </c>
      <c r="B65" s="16" t="s">
        <v>238</v>
      </c>
      <c r="C65" s="24" t="s">
        <v>5</v>
      </c>
      <c r="D65" s="20" t="s">
        <v>59</v>
      </c>
      <c r="E65" s="20" t="s">
        <v>59</v>
      </c>
      <c r="F65" s="20" t="s">
        <v>136</v>
      </c>
      <c r="G65" s="20" t="s">
        <v>67</v>
      </c>
      <c r="H65" s="29">
        <v>0</v>
      </c>
      <c r="I65" s="20"/>
      <c r="J65" s="29">
        <v>45963</v>
      </c>
      <c r="K65" s="29">
        <v>46055</v>
      </c>
      <c r="L65" s="21">
        <f t="shared" si="4"/>
        <v>0</v>
      </c>
      <c r="M65" s="21">
        <f t="shared" si="5"/>
        <v>0</v>
      </c>
      <c r="N65" s="21">
        <f t="shared" si="6"/>
        <v>25.75</v>
      </c>
      <c r="O65" s="21">
        <f t="shared" si="7"/>
        <v>6.0333333333333332</v>
      </c>
    </row>
    <row r="66" spans="1:15" x14ac:dyDescent="0.3">
      <c r="A66" s="24">
        <v>331</v>
      </c>
      <c r="B66" s="16" t="s">
        <v>239</v>
      </c>
      <c r="C66" s="24" t="s">
        <v>5</v>
      </c>
      <c r="D66" s="20" t="s">
        <v>59</v>
      </c>
      <c r="E66" s="20" t="s">
        <v>59</v>
      </c>
      <c r="F66" s="20" t="s">
        <v>59</v>
      </c>
      <c r="G66" s="20" t="s">
        <v>59</v>
      </c>
      <c r="H66" s="29">
        <v>0</v>
      </c>
      <c r="I66" s="20" t="s">
        <v>77</v>
      </c>
      <c r="J66" s="29">
        <v>45412</v>
      </c>
      <c r="K66" s="29">
        <v>45446</v>
      </c>
      <c r="L66" s="21">
        <f t="shared" si="4"/>
        <v>0</v>
      </c>
      <c r="M66" s="21">
        <f t="shared" si="5"/>
        <v>0</v>
      </c>
      <c r="N66" s="21">
        <f t="shared" si="6"/>
        <v>0</v>
      </c>
      <c r="O66" s="21">
        <f t="shared" si="7"/>
        <v>0</v>
      </c>
    </row>
    <row r="67" spans="1:15" x14ac:dyDescent="0.3">
      <c r="A67" s="24">
        <v>92</v>
      </c>
      <c r="B67" s="25" t="s">
        <v>240</v>
      </c>
      <c r="C67" s="24" t="s">
        <v>5</v>
      </c>
      <c r="D67" s="24" t="s">
        <v>59</v>
      </c>
      <c r="E67" s="24" t="s">
        <v>59</v>
      </c>
      <c r="F67" s="24" t="s">
        <v>137</v>
      </c>
      <c r="G67" s="24" t="s">
        <v>71</v>
      </c>
      <c r="H67" s="29">
        <v>0</v>
      </c>
      <c r="I67" s="20"/>
      <c r="J67" s="29">
        <v>42762</v>
      </c>
      <c r="K67" s="29">
        <v>42887</v>
      </c>
      <c r="L67" s="21">
        <f t="shared" ref="L67:L85" si="8">IF(SEARCH("hs",D67)=2,VALUE(LEFT(D67,1)),VALUE(LEFT(D67,2)))+(VALUE(MID(D67,SEARCH("hs",D67)+3,SEARCH("min",D67)-(SEARCH("hs",D67)+3)))/60)</f>
        <v>0</v>
      </c>
      <c r="M67" s="21">
        <f t="shared" ref="M67:M85" si="9">IF(SEARCH("hs",E67)=2,VALUE(LEFT(E67,1)),VALUE(LEFT(E67,2)))+(VALUE(MID(E67,SEARCH("hs",E67)+3,SEARCH("min",E67)-(SEARCH("hs",E67)+3)))/60)</f>
        <v>0</v>
      </c>
      <c r="N67" s="21">
        <f t="shared" ref="N67:N85" si="10">IF(SEARCH("hs",F67)=2,VALUE(LEFT(F67,1)),VALUE(LEFT(F67,2)))+(VALUE(MID(F67,SEARCH("hs",F67)+3,SEARCH("min",F67)-(SEARCH("hs",F67)+3)))/60)</f>
        <v>27.166666666666668</v>
      </c>
      <c r="O67" s="21">
        <f t="shared" ref="O67:O85" si="11">IF(SEARCH("hs",G67)=2,VALUE(LEFT(G67,1)),VALUE(LEFT(G67,2)))+(VALUE(MID(G67,SEARCH("hs",G67)+3,SEARCH("min",G67)-(SEARCH("hs",G67)+3)))/60)</f>
        <v>6.0666666666666664</v>
      </c>
    </row>
    <row r="68" spans="1:15" x14ac:dyDescent="0.3">
      <c r="A68" s="24">
        <v>451</v>
      </c>
      <c r="B68" s="25" t="s">
        <v>241</v>
      </c>
      <c r="C68" s="24" t="s">
        <v>5</v>
      </c>
      <c r="D68" s="24" t="s">
        <v>138</v>
      </c>
      <c r="E68" s="24" t="s">
        <v>79</v>
      </c>
      <c r="F68" s="24" t="s">
        <v>59</v>
      </c>
      <c r="G68" s="24" t="s">
        <v>71</v>
      </c>
      <c r="H68" s="29">
        <v>0</v>
      </c>
      <c r="I68" s="20"/>
      <c r="J68" s="29">
        <v>45913</v>
      </c>
      <c r="K68" s="29">
        <v>45977</v>
      </c>
      <c r="L68" s="21">
        <f t="shared" si="8"/>
        <v>11.233333333333333</v>
      </c>
      <c r="M68" s="21">
        <f t="shared" si="9"/>
        <v>20.416666666666668</v>
      </c>
      <c r="N68" s="21">
        <f t="shared" si="10"/>
        <v>0</v>
      </c>
      <c r="O68" s="21">
        <f t="shared" si="11"/>
        <v>6.0666666666666664</v>
      </c>
    </row>
    <row r="69" spans="1:15" x14ac:dyDescent="0.3">
      <c r="A69" s="24">
        <v>183</v>
      </c>
      <c r="B69" s="25" t="s">
        <v>242</v>
      </c>
      <c r="C69" s="24" t="s">
        <v>5</v>
      </c>
      <c r="D69" s="20" t="s">
        <v>139</v>
      </c>
      <c r="E69" s="20" t="s">
        <v>140</v>
      </c>
      <c r="F69" s="20" t="s">
        <v>59</v>
      </c>
      <c r="G69" s="24" t="s">
        <v>72</v>
      </c>
      <c r="H69" s="29">
        <v>0</v>
      </c>
      <c r="I69" s="20"/>
      <c r="J69" s="29">
        <v>43769</v>
      </c>
      <c r="K69" s="29">
        <v>43862</v>
      </c>
      <c r="L69" s="21">
        <f t="shared" si="8"/>
        <v>3.1666666666666665</v>
      </c>
      <c r="M69" s="21">
        <f t="shared" si="9"/>
        <v>0.75</v>
      </c>
      <c r="N69" s="21">
        <f t="shared" si="10"/>
        <v>0</v>
      </c>
      <c r="O69" s="21">
        <f t="shared" si="11"/>
        <v>6.083333333333333</v>
      </c>
    </row>
    <row r="70" spans="1:15" x14ac:dyDescent="0.3">
      <c r="A70" s="24">
        <v>447</v>
      </c>
      <c r="B70" s="25" t="s">
        <v>243</v>
      </c>
      <c r="C70" s="24" t="s">
        <v>5</v>
      </c>
      <c r="D70" s="24" t="s">
        <v>141</v>
      </c>
      <c r="E70" s="24" t="s">
        <v>142</v>
      </c>
      <c r="F70" s="24" t="s">
        <v>59</v>
      </c>
      <c r="G70" s="24" t="s">
        <v>73</v>
      </c>
      <c r="H70" s="29">
        <v>0</v>
      </c>
      <c r="I70" s="20"/>
      <c r="J70" s="29">
        <v>45876</v>
      </c>
      <c r="K70" s="29">
        <v>46055</v>
      </c>
      <c r="L70" s="21">
        <f t="shared" si="8"/>
        <v>10.15</v>
      </c>
      <c r="M70" s="21">
        <f t="shared" si="9"/>
        <v>19.316666666666666</v>
      </c>
      <c r="N70" s="21">
        <f t="shared" si="10"/>
        <v>0</v>
      </c>
      <c r="O70" s="21">
        <f t="shared" si="11"/>
        <v>6.0166666666666666</v>
      </c>
    </row>
    <row r="71" spans="1:15" x14ac:dyDescent="0.3">
      <c r="A71" s="24">
        <v>483</v>
      </c>
      <c r="B71" s="25" t="s">
        <v>244</v>
      </c>
      <c r="C71" s="24" t="s">
        <v>5</v>
      </c>
      <c r="D71" s="24" t="s">
        <v>59</v>
      </c>
      <c r="E71" s="24" t="s">
        <v>59</v>
      </c>
      <c r="F71" s="24" t="s">
        <v>59</v>
      </c>
      <c r="G71" s="24" t="s">
        <v>72</v>
      </c>
      <c r="H71" s="29">
        <v>0</v>
      </c>
      <c r="I71" s="20"/>
      <c r="J71" s="29">
        <v>46066</v>
      </c>
      <c r="K71" s="29">
        <v>46088</v>
      </c>
      <c r="L71" s="21">
        <f t="shared" si="8"/>
        <v>0</v>
      </c>
      <c r="M71" s="21">
        <f t="shared" si="9"/>
        <v>0</v>
      </c>
      <c r="N71" s="21">
        <f t="shared" si="10"/>
        <v>0</v>
      </c>
      <c r="O71" s="21">
        <f t="shared" si="11"/>
        <v>6.083333333333333</v>
      </c>
    </row>
    <row r="72" spans="1:15" x14ac:dyDescent="0.3">
      <c r="A72" s="24">
        <v>220</v>
      </c>
      <c r="B72" s="25" t="s">
        <v>245</v>
      </c>
      <c r="C72" s="24" t="s">
        <v>5</v>
      </c>
      <c r="D72" s="24" t="s">
        <v>59</v>
      </c>
      <c r="E72" s="24" t="s">
        <v>143</v>
      </c>
      <c r="F72" s="24" t="s">
        <v>59</v>
      </c>
      <c r="G72" s="24" t="s">
        <v>73</v>
      </c>
      <c r="H72" s="29">
        <v>0</v>
      </c>
      <c r="I72" s="20"/>
      <c r="J72" s="29">
        <v>44490</v>
      </c>
      <c r="K72" s="29">
        <v>44652</v>
      </c>
      <c r="L72" s="21">
        <f t="shared" si="8"/>
        <v>0</v>
      </c>
      <c r="M72" s="21">
        <f t="shared" si="9"/>
        <v>28.516666666666666</v>
      </c>
      <c r="N72" s="21">
        <f t="shared" si="10"/>
        <v>0</v>
      </c>
      <c r="O72" s="21">
        <f t="shared" si="11"/>
        <v>6.0166666666666666</v>
      </c>
    </row>
    <row r="73" spans="1:15" x14ac:dyDescent="0.3">
      <c r="A73" s="24">
        <v>427</v>
      </c>
      <c r="B73" s="25" t="s">
        <v>246</v>
      </c>
      <c r="C73" s="24" t="s">
        <v>5</v>
      </c>
      <c r="D73" s="24" t="s">
        <v>144</v>
      </c>
      <c r="E73" s="24" t="s">
        <v>145</v>
      </c>
      <c r="F73" s="24" t="s">
        <v>59</v>
      </c>
      <c r="G73" s="24" t="s">
        <v>67</v>
      </c>
      <c r="H73" s="29">
        <v>0</v>
      </c>
      <c r="I73" s="20"/>
      <c r="J73" s="29">
        <v>45783</v>
      </c>
      <c r="K73" s="29">
        <v>45840</v>
      </c>
      <c r="L73" s="21">
        <f t="shared" si="8"/>
        <v>10.166666666666666</v>
      </c>
      <c r="M73" s="21">
        <f t="shared" si="9"/>
        <v>14.316666666666666</v>
      </c>
      <c r="N73" s="21">
        <f t="shared" si="10"/>
        <v>0</v>
      </c>
      <c r="O73" s="21">
        <f t="shared" si="11"/>
        <v>6.0333333333333332</v>
      </c>
    </row>
    <row r="74" spans="1:15" x14ac:dyDescent="0.3">
      <c r="A74" s="24">
        <v>516</v>
      </c>
      <c r="B74" s="25" t="s">
        <v>247</v>
      </c>
      <c r="C74" s="24" t="s">
        <v>15</v>
      </c>
      <c r="D74" s="24" t="s">
        <v>59</v>
      </c>
      <c r="E74" s="24" t="s">
        <v>59</v>
      </c>
      <c r="F74" s="24" t="s">
        <v>146</v>
      </c>
      <c r="G74" s="24" t="s">
        <v>67</v>
      </c>
      <c r="H74" s="29">
        <v>0</v>
      </c>
      <c r="I74" s="20"/>
      <c r="J74" s="29">
        <v>46167</v>
      </c>
      <c r="K74" s="29">
        <v>0</v>
      </c>
      <c r="L74" s="21">
        <f t="shared" si="8"/>
        <v>0</v>
      </c>
      <c r="M74" s="21">
        <f t="shared" si="9"/>
        <v>0</v>
      </c>
      <c r="N74" s="21">
        <f t="shared" si="10"/>
        <v>10.416666666666666</v>
      </c>
      <c r="O74" s="21">
        <f t="shared" si="11"/>
        <v>6.0333333333333332</v>
      </c>
    </row>
    <row r="75" spans="1:15" x14ac:dyDescent="0.3">
      <c r="A75" s="24">
        <v>203</v>
      </c>
      <c r="B75" s="25" t="s">
        <v>248</v>
      </c>
      <c r="C75" s="24" t="s">
        <v>5</v>
      </c>
      <c r="D75" s="24" t="s">
        <v>59</v>
      </c>
      <c r="E75" s="24" t="s">
        <v>147</v>
      </c>
      <c r="F75" s="24" t="s">
        <v>59</v>
      </c>
      <c r="G75" s="24" t="s">
        <v>71</v>
      </c>
      <c r="H75" s="29">
        <v>0</v>
      </c>
      <c r="I75" s="20"/>
      <c r="J75" s="29">
        <v>44147</v>
      </c>
      <c r="K75" s="29">
        <v>44348</v>
      </c>
      <c r="L75" s="21">
        <f t="shared" si="8"/>
        <v>0</v>
      </c>
      <c r="M75" s="21">
        <f t="shared" si="9"/>
        <v>9.6333333333333329</v>
      </c>
      <c r="N75" s="21">
        <f t="shared" si="10"/>
        <v>0</v>
      </c>
      <c r="O75" s="21">
        <f t="shared" si="11"/>
        <v>6.0666666666666664</v>
      </c>
    </row>
    <row r="76" spans="1:15" x14ac:dyDescent="0.3">
      <c r="A76" s="24">
        <v>514</v>
      </c>
      <c r="B76" s="16" t="s">
        <v>249</v>
      </c>
      <c r="C76" s="24" t="s">
        <v>5</v>
      </c>
      <c r="D76" s="20" t="s">
        <v>148</v>
      </c>
      <c r="E76" s="20" t="s">
        <v>149</v>
      </c>
      <c r="F76" s="20" t="s">
        <v>59</v>
      </c>
      <c r="G76" s="20" t="s">
        <v>73</v>
      </c>
      <c r="H76" s="29">
        <v>0</v>
      </c>
      <c r="I76" s="20"/>
      <c r="J76" s="29">
        <v>46161</v>
      </c>
      <c r="K76" s="29">
        <v>46183</v>
      </c>
      <c r="L76" s="21">
        <f t="shared" si="8"/>
        <v>18.216666666666665</v>
      </c>
      <c r="M76" s="21">
        <f t="shared" si="9"/>
        <v>5.1333333333333337</v>
      </c>
      <c r="N76" s="21">
        <f t="shared" si="10"/>
        <v>0</v>
      </c>
      <c r="O76" s="21">
        <f t="shared" si="11"/>
        <v>6.0166666666666666</v>
      </c>
    </row>
    <row r="77" spans="1:15" x14ac:dyDescent="0.3">
      <c r="A77" s="24">
        <v>502</v>
      </c>
      <c r="B77" s="25" t="s">
        <v>250</v>
      </c>
      <c r="C77" s="24" t="s">
        <v>5</v>
      </c>
      <c r="D77" s="24" t="s">
        <v>76</v>
      </c>
      <c r="E77" s="24" t="s">
        <v>150</v>
      </c>
      <c r="F77" s="24" t="s">
        <v>59</v>
      </c>
      <c r="G77" s="24" t="s">
        <v>71</v>
      </c>
      <c r="H77" s="29">
        <v>0</v>
      </c>
      <c r="I77" s="20"/>
      <c r="J77" s="29">
        <v>46132</v>
      </c>
      <c r="K77" s="29">
        <v>46163</v>
      </c>
      <c r="L77" s="21">
        <f t="shared" si="8"/>
        <v>11.216666666666667</v>
      </c>
      <c r="M77" s="21">
        <f t="shared" si="9"/>
        <v>11.783333333333333</v>
      </c>
      <c r="N77" s="21">
        <f t="shared" si="10"/>
        <v>0</v>
      </c>
      <c r="O77" s="21">
        <f t="shared" si="11"/>
        <v>6.0666666666666664</v>
      </c>
    </row>
    <row r="78" spans="1:15" x14ac:dyDescent="0.3">
      <c r="A78" s="20">
        <v>356</v>
      </c>
      <c r="B78" s="16" t="s">
        <v>251</v>
      </c>
      <c r="C78" s="24" t="s">
        <v>5</v>
      </c>
      <c r="D78" s="20" t="s">
        <v>151</v>
      </c>
      <c r="E78" s="20" t="s">
        <v>152</v>
      </c>
      <c r="F78" s="20" t="s">
        <v>59</v>
      </c>
      <c r="G78" s="24" t="s">
        <v>67</v>
      </c>
      <c r="H78" s="29">
        <v>0</v>
      </c>
      <c r="I78" s="20" t="s">
        <v>172</v>
      </c>
      <c r="J78" s="29">
        <v>45469</v>
      </c>
      <c r="K78" s="29">
        <v>45566</v>
      </c>
      <c r="L78" s="21">
        <f t="shared" si="8"/>
        <v>19.233333333333334</v>
      </c>
      <c r="M78" s="21">
        <f t="shared" si="9"/>
        <v>2.4166666666666665</v>
      </c>
      <c r="N78" s="21">
        <f t="shared" si="10"/>
        <v>0</v>
      </c>
      <c r="O78" s="21">
        <f t="shared" si="11"/>
        <v>6.0333333333333332</v>
      </c>
    </row>
    <row r="79" spans="1:15" x14ac:dyDescent="0.3">
      <c r="A79" s="24">
        <v>487</v>
      </c>
      <c r="B79" s="25" t="s">
        <v>252</v>
      </c>
      <c r="C79" s="24" t="s">
        <v>5</v>
      </c>
      <c r="D79" s="24" t="s">
        <v>153</v>
      </c>
      <c r="E79" s="24" t="s">
        <v>154</v>
      </c>
      <c r="F79" s="24" t="s">
        <v>59</v>
      </c>
      <c r="G79" s="24" t="s">
        <v>75</v>
      </c>
      <c r="H79" s="29">
        <v>0</v>
      </c>
      <c r="I79" s="20"/>
      <c r="J79" s="29">
        <v>46085</v>
      </c>
      <c r="K79" s="29">
        <v>46164</v>
      </c>
      <c r="L79" s="21">
        <f t="shared" si="8"/>
        <v>9.2166666666666668</v>
      </c>
      <c r="M79" s="21">
        <f t="shared" si="9"/>
        <v>21.55</v>
      </c>
      <c r="N79" s="21">
        <f t="shared" si="10"/>
        <v>0</v>
      </c>
      <c r="O79" s="21">
        <f t="shared" si="11"/>
        <v>6.1</v>
      </c>
    </row>
    <row r="80" spans="1:15" x14ac:dyDescent="0.3">
      <c r="A80" s="24">
        <v>513</v>
      </c>
      <c r="B80" s="25" t="s">
        <v>253</v>
      </c>
      <c r="C80" s="24" t="s">
        <v>5</v>
      </c>
      <c r="D80" s="24" t="s">
        <v>155</v>
      </c>
      <c r="E80" s="24" t="s">
        <v>156</v>
      </c>
      <c r="F80" s="24" t="s">
        <v>59</v>
      </c>
      <c r="G80" s="24" t="s">
        <v>72</v>
      </c>
      <c r="H80" s="29">
        <v>0</v>
      </c>
      <c r="I80" s="20"/>
      <c r="J80" s="29">
        <v>46157</v>
      </c>
      <c r="K80" s="29">
        <v>46175</v>
      </c>
      <c r="L80" s="21">
        <f t="shared" si="8"/>
        <v>19.533333333333335</v>
      </c>
      <c r="M80" s="21">
        <f t="shared" si="9"/>
        <v>11.7</v>
      </c>
      <c r="N80" s="21">
        <f t="shared" si="10"/>
        <v>0</v>
      </c>
      <c r="O80" s="21">
        <f t="shared" si="11"/>
        <v>6.083333333333333</v>
      </c>
    </row>
    <row r="81" spans="1:15" x14ac:dyDescent="0.3">
      <c r="A81" s="24">
        <v>452</v>
      </c>
      <c r="B81" s="25" t="s">
        <v>254</v>
      </c>
      <c r="C81" s="24" t="s">
        <v>5</v>
      </c>
      <c r="D81" s="24" t="s">
        <v>138</v>
      </c>
      <c r="E81" s="24" t="s">
        <v>59</v>
      </c>
      <c r="F81" s="24" t="s">
        <v>59</v>
      </c>
      <c r="G81" s="24" t="s">
        <v>72</v>
      </c>
      <c r="H81" s="29">
        <v>0</v>
      </c>
      <c r="I81" s="20"/>
      <c r="J81" s="29">
        <v>45910</v>
      </c>
      <c r="K81" s="29">
        <v>45946</v>
      </c>
      <c r="L81" s="21">
        <f t="shared" si="8"/>
        <v>11.233333333333333</v>
      </c>
      <c r="M81" s="21">
        <f t="shared" si="9"/>
        <v>0</v>
      </c>
      <c r="N81" s="21">
        <f t="shared" si="10"/>
        <v>0</v>
      </c>
      <c r="O81" s="21">
        <f t="shared" si="11"/>
        <v>6.083333333333333</v>
      </c>
    </row>
    <row r="82" spans="1:15" x14ac:dyDescent="0.3">
      <c r="A82" s="24">
        <v>504</v>
      </c>
      <c r="B82" s="16" t="s">
        <v>255</v>
      </c>
      <c r="C82" s="24" t="s">
        <v>15</v>
      </c>
      <c r="D82" s="24" t="s">
        <v>157</v>
      </c>
      <c r="E82" s="24" t="s">
        <v>65</v>
      </c>
      <c r="F82" s="24" t="s">
        <v>59</v>
      </c>
      <c r="G82" s="24" t="s">
        <v>73</v>
      </c>
      <c r="H82" s="29">
        <v>0</v>
      </c>
      <c r="I82" s="20"/>
      <c r="J82" s="29">
        <v>46133</v>
      </c>
      <c r="K82" s="29">
        <v>0</v>
      </c>
      <c r="L82" s="21">
        <f t="shared" si="8"/>
        <v>19.5</v>
      </c>
      <c r="M82" s="21">
        <f t="shared" si="9"/>
        <v>10.366666666666667</v>
      </c>
      <c r="N82" s="21">
        <f t="shared" si="10"/>
        <v>0</v>
      </c>
      <c r="O82" s="21">
        <f t="shared" si="11"/>
        <v>6.0166666666666666</v>
      </c>
    </row>
    <row r="83" spans="1:15" x14ac:dyDescent="0.3">
      <c r="A83" s="24">
        <v>498</v>
      </c>
      <c r="B83" s="25" t="s">
        <v>256</v>
      </c>
      <c r="C83" s="24" t="s">
        <v>5</v>
      </c>
      <c r="D83" s="24" t="s">
        <v>158</v>
      </c>
      <c r="E83" s="24" t="s">
        <v>159</v>
      </c>
      <c r="F83" s="24" t="s">
        <v>59</v>
      </c>
      <c r="G83" s="24" t="s">
        <v>73</v>
      </c>
      <c r="H83" s="29">
        <v>0</v>
      </c>
      <c r="I83" s="20"/>
      <c r="J83" s="29">
        <v>46117</v>
      </c>
      <c r="K83" s="29">
        <v>46164</v>
      </c>
      <c r="L83" s="21">
        <f t="shared" si="8"/>
        <v>18.3</v>
      </c>
      <c r="M83" s="21">
        <f t="shared" si="9"/>
        <v>11.4</v>
      </c>
      <c r="N83" s="21">
        <f t="shared" si="10"/>
        <v>0</v>
      </c>
      <c r="O83" s="21">
        <f t="shared" si="11"/>
        <v>6.0166666666666666</v>
      </c>
    </row>
    <row r="84" spans="1:15" x14ac:dyDescent="0.3">
      <c r="A84" s="24">
        <v>402</v>
      </c>
      <c r="B84" s="16" t="s">
        <v>257</v>
      </c>
      <c r="C84" s="24" t="s">
        <v>5</v>
      </c>
      <c r="D84" s="20" t="s">
        <v>160</v>
      </c>
      <c r="E84" s="20" t="s">
        <v>161</v>
      </c>
      <c r="F84" s="20" t="s">
        <v>59</v>
      </c>
      <c r="G84" s="20" t="s">
        <v>73</v>
      </c>
      <c r="H84" s="29">
        <v>0</v>
      </c>
      <c r="I84" s="20"/>
      <c r="J84" s="29">
        <v>45712</v>
      </c>
      <c r="K84" s="29">
        <v>45856</v>
      </c>
      <c r="L84" s="21">
        <f t="shared" si="8"/>
        <v>24.683333333333334</v>
      </c>
      <c r="M84" s="21">
        <f t="shared" si="9"/>
        <v>6.666666666666667</v>
      </c>
      <c r="N84" s="21">
        <f t="shared" si="10"/>
        <v>0</v>
      </c>
      <c r="O84" s="21">
        <f t="shared" si="11"/>
        <v>6.0166666666666666</v>
      </c>
    </row>
    <row r="85" spans="1:15" x14ac:dyDescent="0.3">
      <c r="A85" s="24">
        <v>441</v>
      </c>
      <c r="B85" s="25" t="s">
        <v>258</v>
      </c>
      <c r="C85" s="24" t="s">
        <v>5</v>
      </c>
      <c r="D85" s="24" t="s">
        <v>59</v>
      </c>
      <c r="E85" s="24" t="s">
        <v>59</v>
      </c>
      <c r="F85" s="24" t="s">
        <v>59</v>
      </c>
      <c r="G85" s="24" t="s">
        <v>59</v>
      </c>
      <c r="H85" s="29">
        <v>0</v>
      </c>
      <c r="I85" s="20"/>
      <c r="J85" s="29">
        <v>45847</v>
      </c>
      <c r="K85" s="29">
        <v>46042</v>
      </c>
      <c r="L85" s="21">
        <f t="shared" si="8"/>
        <v>0</v>
      </c>
      <c r="M85" s="21">
        <f t="shared" si="9"/>
        <v>0</v>
      </c>
      <c r="N85" s="21">
        <f t="shared" si="10"/>
        <v>0</v>
      </c>
      <c r="O85" s="21">
        <f t="shared" si="11"/>
        <v>0</v>
      </c>
    </row>
  </sheetData>
  <sortState xmlns:xlrd2="http://schemas.microsoft.com/office/spreadsheetml/2017/richdata2" ref="S3:U45">
    <sortCondition ref="S3:S45"/>
  </sortState>
  <pageMargins left="0.51181102362204722" right="0.51181102362204722" top="0.78740157480314965" bottom="0.78740157480314965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view="pageBreakPreview" zoomScale="90" zoomScaleSheetLayoutView="90" workbookViewId="0">
      <selection activeCell="B7" sqref="B7"/>
    </sheetView>
  </sheetViews>
  <sheetFormatPr defaultRowHeight="14.4" x14ac:dyDescent="0.3"/>
  <cols>
    <col min="1" max="1" width="7.6640625" customWidth="1"/>
    <col min="2" max="2" width="30" customWidth="1"/>
    <col min="3" max="3" width="5.44140625" customWidth="1"/>
    <col min="4" max="4" width="6.6640625" customWidth="1"/>
    <col min="5" max="6" width="21.21875" bestFit="1" customWidth="1"/>
    <col min="7" max="7" width="13.6640625" customWidth="1"/>
    <col min="8" max="8" width="10.6640625" customWidth="1"/>
  </cols>
  <sheetData>
    <row r="1" spans="1:9" ht="15" thickBot="1" x14ac:dyDescent="0.35"/>
    <row r="2" spans="1:9" ht="21" x14ac:dyDescent="0.4">
      <c r="A2" s="16"/>
      <c r="B2" s="2"/>
      <c r="C2" s="3" t="s">
        <v>7</v>
      </c>
      <c r="D2" s="2"/>
      <c r="E2" s="2"/>
      <c r="F2" s="2"/>
      <c r="G2" s="31"/>
      <c r="H2" s="31"/>
    </row>
    <row r="3" spans="1:9" ht="15.6" x14ac:dyDescent="0.3">
      <c r="A3" s="16"/>
      <c r="B3" s="6" t="s">
        <v>1</v>
      </c>
      <c r="C3" s="7">
        <v>46174</v>
      </c>
      <c r="D3" s="8"/>
      <c r="E3" s="8"/>
      <c r="F3" s="8"/>
      <c r="G3" s="32"/>
      <c r="H3" s="32"/>
    </row>
    <row r="4" spans="1:9" ht="15.6" x14ac:dyDescent="0.3">
      <c r="A4" s="16"/>
      <c r="B4" s="17"/>
      <c r="C4" s="11"/>
      <c r="D4" s="12"/>
      <c r="E4" s="12"/>
      <c r="F4" s="12"/>
      <c r="G4" s="32"/>
      <c r="H4" s="32"/>
    </row>
    <row r="5" spans="1:9" ht="28.8" x14ac:dyDescent="0.3">
      <c r="A5" s="35" t="s">
        <v>2</v>
      </c>
      <c r="B5" s="36" t="s">
        <v>3</v>
      </c>
      <c r="C5" s="36" t="s">
        <v>4</v>
      </c>
      <c r="D5" s="37" t="s">
        <v>5</v>
      </c>
      <c r="E5" s="37" t="s">
        <v>6</v>
      </c>
      <c r="F5" s="38" t="s">
        <v>8</v>
      </c>
      <c r="G5" s="34" t="s">
        <v>26</v>
      </c>
      <c r="H5" s="34" t="s">
        <v>25</v>
      </c>
      <c r="I5" s="33"/>
    </row>
    <row r="6" spans="1:9" x14ac:dyDescent="0.3">
      <c r="A6" s="42" t="s">
        <v>42</v>
      </c>
      <c r="B6" s="42" t="s">
        <v>43</v>
      </c>
      <c r="C6" s="26"/>
      <c r="D6" s="26"/>
      <c r="E6" s="43">
        <v>0</v>
      </c>
      <c r="F6" s="48"/>
      <c r="G6" s="26"/>
      <c r="H6" s="27"/>
    </row>
    <row r="7" spans="1:9" x14ac:dyDescent="0.3">
      <c r="A7" s="44">
        <v>494</v>
      </c>
      <c r="B7" s="44" t="str">
        <f>VLOOKUP(A7,colaborador,2,0)</f>
        <v>Joana Coelho</v>
      </c>
      <c r="C7" s="26" t="s">
        <v>27</v>
      </c>
      <c r="D7" s="27" t="s">
        <v>5</v>
      </c>
      <c r="E7" s="43">
        <v>782.89823826305872</v>
      </c>
      <c r="F7" s="49">
        <v>389</v>
      </c>
      <c r="G7" s="26"/>
      <c r="H7" s="27">
        <v>0</v>
      </c>
    </row>
    <row r="8" spans="1:9" x14ac:dyDescent="0.3">
      <c r="A8" s="44">
        <v>428</v>
      </c>
      <c r="B8" s="44" t="str">
        <f>VLOOKUP(A8,colaborador,2,0)</f>
        <v>Adriana Morais</v>
      </c>
      <c r="C8" s="26" t="s">
        <v>39</v>
      </c>
      <c r="D8" s="27" t="s">
        <v>5</v>
      </c>
      <c r="E8" s="54">
        <v>1565.7964765261174</v>
      </c>
      <c r="F8" s="54">
        <v>188</v>
      </c>
      <c r="G8" s="26"/>
      <c r="H8" s="27">
        <v>0</v>
      </c>
    </row>
    <row r="9" spans="1:9" x14ac:dyDescent="0.3">
      <c r="A9" s="59">
        <v>491</v>
      </c>
      <c r="B9" s="44" t="str">
        <f>VLOOKUP(A9,colaborador,2,0)</f>
        <v>Daniele Guimarães</v>
      </c>
      <c r="C9" s="16" t="s">
        <v>54</v>
      </c>
      <c r="D9" s="16" t="s">
        <v>5</v>
      </c>
      <c r="E9" s="50">
        <v>782.89823826305872</v>
      </c>
      <c r="F9" s="50">
        <v>99</v>
      </c>
      <c r="G9" s="16"/>
      <c r="H9" s="27">
        <v>0</v>
      </c>
    </row>
    <row r="10" spans="1:9" x14ac:dyDescent="0.3">
      <c r="A10" s="44">
        <v>373</v>
      </c>
      <c r="B10" s="44" t="str">
        <f>VLOOKUP(A10,colaborador,2,0)</f>
        <v>Sônia de Paula</v>
      </c>
      <c r="C10" s="26" t="s">
        <v>34</v>
      </c>
      <c r="D10" s="27" t="s">
        <v>5</v>
      </c>
      <c r="E10" s="43">
        <v>1826.7625559471371</v>
      </c>
      <c r="F10" s="49">
        <v>40</v>
      </c>
      <c r="G10" s="26"/>
      <c r="H10" s="27">
        <v>0</v>
      </c>
    </row>
    <row r="11" spans="1:9" x14ac:dyDescent="0.3">
      <c r="A11" s="44">
        <v>453</v>
      </c>
      <c r="B11" s="44" t="str">
        <f>VLOOKUP(A11,colaborador,2,0)</f>
        <v>Cláudio Filho</v>
      </c>
      <c r="C11" s="26" t="s">
        <v>23</v>
      </c>
      <c r="D11" s="27" t="s">
        <v>5</v>
      </c>
      <c r="E11" s="43">
        <v>2810.6268736312154</v>
      </c>
      <c r="F11" s="49">
        <v>91</v>
      </c>
      <c r="G11" s="26"/>
      <c r="H11" s="27">
        <v>0</v>
      </c>
    </row>
    <row r="12" spans="1:9" x14ac:dyDescent="0.3">
      <c r="A12" s="44">
        <v>81</v>
      </c>
      <c r="B12" s="44" t="str">
        <f>VLOOKUP(A12,colaborador,2,0)</f>
        <v>Milena da Conceição</v>
      </c>
      <c r="C12" s="26" t="s">
        <v>55</v>
      </c>
      <c r="D12" s="27" t="s">
        <v>5</v>
      </c>
      <c r="E12" s="43">
        <v>4697.3894295783521</v>
      </c>
      <c r="F12" s="49">
        <v>1121</v>
      </c>
      <c r="G12" s="26"/>
      <c r="H12" s="27">
        <v>0</v>
      </c>
    </row>
    <row r="13" spans="1:9" x14ac:dyDescent="0.3">
      <c r="A13" s="44">
        <v>479</v>
      </c>
      <c r="B13" s="44" t="str">
        <f>VLOOKUP(A13,colaborador,2,0)</f>
        <v>Eduardo de Lima</v>
      </c>
      <c r="C13" s="26" t="s">
        <v>41</v>
      </c>
      <c r="D13" s="27" t="s">
        <v>5</v>
      </c>
      <c r="E13" s="43">
        <v>2348.694714789176</v>
      </c>
      <c r="F13" s="49">
        <v>874</v>
      </c>
      <c r="G13" s="26"/>
      <c r="H13" s="27">
        <v>0</v>
      </c>
    </row>
    <row r="14" spans="1:9" x14ac:dyDescent="0.3">
      <c r="A14" s="44">
        <v>13</v>
      </c>
      <c r="B14" s="44" t="str">
        <f>VLOOKUP(A14,colaborador,2,0)</f>
        <v>Gilberto Correia</v>
      </c>
      <c r="C14" s="26" t="s">
        <v>16</v>
      </c>
      <c r="D14" s="27" t="s">
        <v>5</v>
      </c>
      <c r="E14" s="54">
        <v>6524.1519855254892</v>
      </c>
      <c r="F14" s="54">
        <v>296</v>
      </c>
      <c r="G14" s="26"/>
      <c r="H14" s="27">
        <v>0</v>
      </c>
    </row>
    <row r="15" spans="1:9" x14ac:dyDescent="0.3">
      <c r="A15" s="44">
        <v>43</v>
      </c>
      <c r="B15" s="44" t="str">
        <f>VLOOKUP(A15,colaborador,2,0)</f>
        <v>Daiane Mota</v>
      </c>
      <c r="C15" s="26" t="s">
        <v>40</v>
      </c>
      <c r="D15" s="27" t="s">
        <v>5</v>
      </c>
      <c r="E15" s="43">
        <v>2609.6607942101955</v>
      </c>
      <c r="F15" s="49"/>
      <c r="G15" s="26"/>
      <c r="H15" s="27">
        <v>0</v>
      </c>
    </row>
    <row r="16" spans="1:9" x14ac:dyDescent="0.3">
      <c r="A16" s="44">
        <v>264</v>
      </c>
      <c r="B16" s="44" t="str">
        <f>VLOOKUP(A16,colaborador,2,0)</f>
        <v>Cláudio Bezerra</v>
      </c>
      <c r="C16" s="26" t="s">
        <v>56</v>
      </c>
      <c r="D16" s="27" t="s">
        <v>5</v>
      </c>
      <c r="E16" s="43">
        <v>3653.5251118942742</v>
      </c>
      <c r="F16" s="49">
        <v>297</v>
      </c>
      <c r="G16" s="26"/>
      <c r="H16" s="27">
        <v>0</v>
      </c>
    </row>
    <row r="17" spans="1:8" x14ac:dyDescent="0.3">
      <c r="A17" s="44">
        <v>346</v>
      </c>
      <c r="B17" s="44" t="str">
        <f>VLOOKUP(A17,colaborador,2,0)</f>
        <v>Sophia Gomes</v>
      </c>
      <c r="C17" s="26" t="s">
        <v>28</v>
      </c>
      <c r="D17" s="27" t="s">
        <v>5</v>
      </c>
      <c r="E17" s="43">
        <v>2087.7286353681566</v>
      </c>
      <c r="F17" s="49">
        <v>177</v>
      </c>
      <c r="G17" s="26"/>
      <c r="H17" s="27">
        <v>0</v>
      </c>
    </row>
    <row r="18" spans="1:8" x14ac:dyDescent="0.3">
      <c r="A18" s="44">
        <v>129</v>
      </c>
      <c r="B18" s="44" t="str">
        <f>VLOOKUP(A18,colaborador,2,0)</f>
        <v>Thiago Maria</v>
      </c>
      <c r="C18" s="26" t="s">
        <v>23</v>
      </c>
      <c r="D18" s="27" t="s">
        <v>5</v>
      </c>
      <c r="E18" s="43">
        <v>0</v>
      </c>
      <c r="F18" s="49">
        <v>194</v>
      </c>
      <c r="G18" s="26"/>
      <c r="H18" s="27">
        <v>0</v>
      </c>
    </row>
    <row r="19" spans="1:8" x14ac:dyDescent="0.3">
      <c r="A19" s="44" t="s">
        <v>42</v>
      </c>
      <c r="B19" s="42" t="s">
        <v>63</v>
      </c>
      <c r="C19" s="26" t="s">
        <v>42</v>
      </c>
      <c r="D19" s="27" t="s">
        <v>42</v>
      </c>
      <c r="E19" s="43">
        <v>0</v>
      </c>
      <c r="F19" s="49"/>
      <c r="G19" s="26"/>
      <c r="H19" s="27" t="s">
        <v>42</v>
      </c>
    </row>
    <row r="20" spans="1:8" x14ac:dyDescent="0.3">
      <c r="A20" s="44">
        <v>474</v>
      </c>
      <c r="B20" s="44" t="str">
        <f>VLOOKUP(A20,colaborador,2,0)</f>
        <v>Nicolas Mendes</v>
      </c>
      <c r="C20" s="26" t="s">
        <v>27</v>
      </c>
      <c r="D20" s="27" t="s">
        <v>5</v>
      </c>
      <c r="E20" s="43">
        <v>782.89823826305872</v>
      </c>
      <c r="F20" s="49">
        <v>168</v>
      </c>
      <c r="G20" s="26"/>
      <c r="H20" s="27">
        <v>0</v>
      </c>
    </row>
    <row r="21" spans="1:8" x14ac:dyDescent="0.3">
      <c r="A21" s="59">
        <v>84</v>
      </c>
      <c r="B21" s="44" t="str">
        <f>VLOOKUP(A21,colaborador,2,0)</f>
        <v>Isabela de Barros</v>
      </c>
      <c r="C21" s="16" t="s">
        <v>58</v>
      </c>
      <c r="D21" s="16" t="s">
        <v>5</v>
      </c>
      <c r="E21" s="50">
        <v>0</v>
      </c>
      <c r="F21" s="50">
        <v>800</v>
      </c>
      <c r="G21" s="16"/>
      <c r="H21" s="27">
        <v>0</v>
      </c>
    </row>
    <row r="22" spans="1:8" x14ac:dyDescent="0.3">
      <c r="A22" s="44" t="s">
        <v>42</v>
      </c>
      <c r="B22" s="44" t="s">
        <v>42</v>
      </c>
      <c r="C22" s="26" t="s">
        <v>42</v>
      </c>
      <c r="D22" s="27" t="s">
        <v>42</v>
      </c>
      <c r="E22" s="43">
        <v>0</v>
      </c>
      <c r="F22" s="49"/>
      <c r="G22" s="26"/>
      <c r="H22" s="27" t="s">
        <v>42</v>
      </c>
    </row>
    <row r="23" spans="1:8" x14ac:dyDescent="0.3">
      <c r="A23" s="44">
        <v>519</v>
      </c>
      <c r="B23" s="44" t="str">
        <f>VLOOKUP(A23,colaborador,2,0)</f>
        <v>André do Carmo</v>
      </c>
      <c r="C23" s="26" t="s">
        <v>27</v>
      </c>
      <c r="D23" s="27" t="s">
        <v>62</v>
      </c>
      <c r="E23" s="43">
        <v>417.54572707363133</v>
      </c>
      <c r="F23" s="49">
        <v>162</v>
      </c>
      <c r="G23" s="26"/>
      <c r="H23" s="27">
        <v>0</v>
      </c>
    </row>
    <row r="24" spans="1:8" x14ac:dyDescent="0.3">
      <c r="A24" s="59">
        <v>272</v>
      </c>
      <c r="B24" s="44" t="str">
        <f>VLOOKUP(A24,colaborador,2,0)</f>
        <v>Letícia Garcia</v>
      </c>
      <c r="C24" s="16" t="s">
        <v>58</v>
      </c>
      <c r="D24" s="16" t="s">
        <v>5</v>
      </c>
      <c r="E24" s="50">
        <v>1174.347357394588</v>
      </c>
      <c r="F24" s="50">
        <v>119</v>
      </c>
      <c r="G24" s="16"/>
      <c r="H24" s="27">
        <v>0</v>
      </c>
    </row>
    <row r="25" spans="1:8" x14ac:dyDescent="0.3">
      <c r="A25" s="44">
        <v>511</v>
      </c>
      <c r="B25" s="44" t="str">
        <f>VLOOKUP(A25,colaborador,2,0)</f>
        <v>Emerson Medeiros</v>
      </c>
      <c r="C25" s="26" t="s">
        <v>27</v>
      </c>
      <c r="D25" s="27" t="s">
        <v>5</v>
      </c>
      <c r="E25" s="43">
        <v>782.89823826305872</v>
      </c>
      <c r="F25" s="49">
        <v>298</v>
      </c>
      <c r="G25" s="26"/>
      <c r="H25" s="27">
        <v>0</v>
      </c>
    </row>
    <row r="26" spans="1:8" x14ac:dyDescent="0.3">
      <c r="A26" s="44">
        <v>412</v>
      </c>
      <c r="B26" s="44" t="str">
        <f>VLOOKUP(A26,colaborador,2,0)</f>
        <v>Luan da Rosa</v>
      </c>
      <c r="C26" s="26" t="s">
        <v>31</v>
      </c>
      <c r="D26" s="27" t="s">
        <v>5</v>
      </c>
      <c r="E26" s="43">
        <v>1304.8303971050977</v>
      </c>
      <c r="F26" s="49">
        <v>364</v>
      </c>
      <c r="G26" s="26"/>
      <c r="H26" s="27">
        <v>0</v>
      </c>
    </row>
    <row r="27" spans="1:8" x14ac:dyDescent="0.3">
      <c r="A27" s="44">
        <v>309</v>
      </c>
      <c r="B27" s="44" t="str">
        <f>VLOOKUP(A27,colaborador,2,0)</f>
        <v>Valentina Machado</v>
      </c>
      <c r="C27" s="26" t="s">
        <v>23</v>
      </c>
      <c r="D27" s="27" t="s">
        <v>5</v>
      </c>
      <c r="E27" s="43">
        <v>2870.6268736312154</v>
      </c>
      <c r="F27" s="49">
        <v>256</v>
      </c>
      <c r="G27" s="26"/>
      <c r="H27" s="27">
        <v>0</v>
      </c>
    </row>
    <row r="28" spans="1:8" x14ac:dyDescent="0.3">
      <c r="A28" s="44">
        <v>194</v>
      </c>
      <c r="B28" s="44" t="str">
        <f>VLOOKUP(A28,colaborador,2,0)</f>
        <v>Sabrina de Paula</v>
      </c>
      <c r="C28" s="26" t="s">
        <v>40</v>
      </c>
      <c r="D28" s="27" t="s">
        <v>5</v>
      </c>
      <c r="E28" s="43">
        <v>2609.6607942101955</v>
      </c>
      <c r="F28" s="49">
        <v>355</v>
      </c>
      <c r="G28" s="26"/>
      <c r="H28" s="27">
        <v>0</v>
      </c>
    </row>
    <row r="29" spans="1:8" x14ac:dyDescent="0.3">
      <c r="A29" s="44">
        <v>500</v>
      </c>
      <c r="B29" s="44" t="str">
        <f>VLOOKUP(A29,colaborador,2,0)</f>
        <v>Simone Pires</v>
      </c>
      <c r="C29" s="26" t="s">
        <v>34</v>
      </c>
      <c r="D29" s="27" t="s">
        <v>5</v>
      </c>
      <c r="E29" s="43">
        <v>1826.7625559471371</v>
      </c>
      <c r="F29" s="49">
        <v>124</v>
      </c>
      <c r="G29" s="26"/>
      <c r="H29" s="27">
        <v>0</v>
      </c>
    </row>
    <row r="30" spans="1:8" x14ac:dyDescent="0.3">
      <c r="A30" s="44">
        <v>336</v>
      </c>
      <c r="B30" s="44" t="str">
        <f>VLOOKUP(A30,colaborador,2,0)</f>
        <v>Natália dos Santos</v>
      </c>
      <c r="C30" s="26" t="s">
        <v>51</v>
      </c>
      <c r="D30" s="27" t="s">
        <v>5</v>
      </c>
      <c r="E30" s="54">
        <v>0</v>
      </c>
      <c r="F30" s="55"/>
      <c r="G30" s="26"/>
      <c r="H30" s="27">
        <v>0</v>
      </c>
    </row>
    <row r="31" spans="1:8" x14ac:dyDescent="0.3">
      <c r="A31" s="44">
        <v>398</v>
      </c>
      <c r="B31" s="44" t="str">
        <f>VLOOKUP(A31,colaborador,2,0)</f>
        <v>Carla de Jesus</v>
      </c>
      <c r="C31" s="26" t="s">
        <v>57</v>
      </c>
      <c r="D31" s="27" t="s">
        <v>5</v>
      </c>
      <c r="E31" s="43">
        <v>0</v>
      </c>
      <c r="F31" s="49">
        <v>159</v>
      </c>
      <c r="G31" s="26"/>
      <c r="H31" s="27">
        <v>0</v>
      </c>
    </row>
    <row r="32" spans="1:8" x14ac:dyDescent="0.3">
      <c r="A32" s="44">
        <v>521</v>
      </c>
      <c r="B32" s="44" t="str">
        <f>VLOOKUP(A32,colaborador,2,0)</f>
        <v>Bianca Braga</v>
      </c>
      <c r="C32" s="26" t="s">
        <v>27</v>
      </c>
      <c r="D32" s="27" t="s">
        <v>62</v>
      </c>
      <c r="E32" s="43">
        <v>365.35251118942745</v>
      </c>
      <c r="F32" s="49">
        <v>132</v>
      </c>
      <c r="G32" s="26"/>
      <c r="H32" s="27">
        <v>0</v>
      </c>
    </row>
    <row r="33" spans="1:8" x14ac:dyDescent="0.3">
      <c r="A33" s="44">
        <v>522</v>
      </c>
      <c r="B33" s="44" t="str">
        <f>VLOOKUP(A33,colaborador,2,0)</f>
        <v>Gabriel de Almeida</v>
      </c>
      <c r="C33" s="26" t="s">
        <v>27</v>
      </c>
      <c r="D33" s="27" t="s">
        <v>62</v>
      </c>
      <c r="E33" s="43">
        <v>313.15929530522351</v>
      </c>
      <c r="F33" s="40">
        <v>121</v>
      </c>
      <c r="G33" s="26"/>
      <c r="H33" s="27">
        <v>0</v>
      </c>
    </row>
    <row r="34" spans="1:8" x14ac:dyDescent="0.3">
      <c r="A34" s="44">
        <v>406</v>
      </c>
      <c r="B34" s="44" t="str">
        <f>VLOOKUP(A34,colaborador,2,0)</f>
        <v>Sílvia de Moura</v>
      </c>
      <c r="C34" s="26" t="s">
        <v>34</v>
      </c>
      <c r="D34" s="27" t="s">
        <v>5</v>
      </c>
      <c r="E34" s="43">
        <v>1826.7625559471371</v>
      </c>
      <c r="F34" s="49">
        <v>251</v>
      </c>
      <c r="G34" s="26"/>
      <c r="H34" s="27">
        <v>0</v>
      </c>
    </row>
    <row r="35" spans="1:8" x14ac:dyDescent="0.3">
      <c r="A35" s="44">
        <v>266</v>
      </c>
      <c r="B35" s="44" t="str">
        <f>VLOOKUP(A35,colaborador,2,0)</f>
        <v>Felipe Moreira</v>
      </c>
      <c r="C35" s="26" t="s">
        <v>23</v>
      </c>
      <c r="D35" s="27" t="s">
        <v>5</v>
      </c>
      <c r="E35" s="43">
        <v>0</v>
      </c>
      <c r="F35" s="49">
        <v>275</v>
      </c>
      <c r="G35" s="26"/>
      <c r="H35" s="27">
        <v>0</v>
      </c>
    </row>
    <row r="36" spans="1:8" x14ac:dyDescent="0.3">
      <c r="A36" s="44">
        <v>478</v>
      </c>
      <c r="B36" s="44" t="str">
        <f>VLOOKUP(A36,colaborador,2,0)</f>
        <v>André de Sousa</v>
      </c>
      <c r="C36" s="26" t="s">
        <v>27</v>
      </c>
      <c r="D36" s="27" t="s">
        <v>5</v>
      </c>
      <c r="E36" s="43">
        <v>782.89823826305872</v>
      </c>
      <c r="F36" s="49"/>
      <c r="G36" s="26"/>
      <c r="H36" s="27">
        <v>0</v>
      </c>
    </row>
    <row r="37" spans="1:8" x14ac:dyDescent="0.3">
      <c r="A37" s="44">
        <v>523</v>
      </c>
      <c r="B37" s="44" t="str">
        <f>VLOOKUP(A37,colaborador,2,0)</f>
        <v>Marlene Dias</v>
      </c>
      <c r="C37" s="26" t="s">
        <v>27</v>
      </c>
      <c r="D37" s="27" t="s">
        <v>62</v>
      </c>
      <c r="E37" s="43">
        <v>313.15929530522351</v>
      </c>
      <c r="F37" s="49">
        <v>40</v>
      </c>
      <c r="G37" s="26"/>
      <c r="H37" s="27">
        <v>0</v>
      </c>
    </row>
    <row r="38" spans="1:8" x14ac:dyDescent="0.3">
      <c r="A38" s="44">
        <v>92</v>
      </c>
      <c r="B38" s="44" t="str">
        <f>VLOOKUP(A38,colaborador,2,0)</f>
        <v>Ricardo Ribeiro</v>
      </c>
      <c r="C38" s="26" t="s">
        <v>51</v>
      </c>
      <c r="D38" s="27" t="s">
        <v>5</v>
      </c>
      <c r="E38" s="43">
        <v>4175.4572707363131</v>
      </c>
      <c r="F38" s="49">
        <v>248</v>
      </c>
      <c r="G38" s="26"/>
      <c r="H38" s="27">
        <v>0</v>
      </c>
    </row>
    <row r="39" spans="1:8" x14ac:dyDescent="0.3">
      <c r="A39" s="44">
        <v>451</v>
      </c>
      <c r="B39" s="44" t="str">
        <f>VLOOKUP(A39,colaborador,2,0)</f>
        <v>Terezinha José</v>
      </c>
      <c r="C39" s="26" t="s">
        <v>23</v>
      </c>
      <c r="D39" s="27" t="s">
        <v>5</v>
      </c>
      <c r="E39" s="43">
        <v>2870.6268736312154</v>
      </c>
      <c r="F39" s="49">
        <v>1113</v>
      </c>
      <c r="G39" s="26"/>
      <c r="H39" s="27">
        <v>0</v>
      </c>
    </row>
    <row r="40" spans="1:8" x14ac:dyDescent="0.3">
      <c r="A40" s="44">
        <v>183</v>
      </c>
      <c r="B40" s="44" t="str">
        <f>VLOOKUP(A40,colaborador,2,0)</f>
        <v>Joana de Matos</v>
      </c>
      <c r="C40" s="26" t="s">
        <v>28</v>
      </c>
      <c r="D40" s="27" t="s">
        <v>5</v>
      </c>
      <c r="E40" s="43">
        <v>2087.7286353681566</v>
      </c>
      <c r="F40" s="49">
        <v>55</v>
      </c>
      <c r="G40" s="26"/>
      <c r="H40" s="27">
        <v>0</v>
      </c>
    </row>
    <row r="41" spans="1:8" x14ac:dyDescent="0.3">
      <c r="A41" s="44">
        <v>524</v>
      </c>
      <c r="B41" s="44" t="str">
        <f>VLOOKUP(A41,colaborador,2,0)</f>
        <v>Kauan Moreira</v>
      </c>
      <c r="C41" s="26" t="s">
        <v>27</v>
      </c>
      <c r="D41" s="27" t="s">
        <v>62</v>
      </c>
      <c r="E41" s="43">
        <v>208.77286353681566</v>
      </c>
      <c r="F41" s="49">
        <v>130</v>
      </c>
      <c r="G41" s="26"/>
      <c r="H41" s="27">
        <v>0</v>
      </c>
    </row>
    <row r="42" spans="1:8" x14ac:dyDescent="0.3">
      <c r="A42" s="44">
        <v>504</v>
      </c>
      <c r="B42" s="44" t="str">
        <f>VLOOKUP(A42,colaborador,2,0)</f>
        <v>Raquel Nunes</v>
      </c>
      <c r="C42" s="26" t="s">
        <v>27</v>
      </c>
      <c r="D42" s="27" t="s">
        <v>62</v>
      </c>
      <c r="E42" s="43">
        <v>782.89823826305872</v>
      </c>
      <c r="F42" s="49">
        <v>137</v>
      </c>
      <c r="G42" s="26"/>
      <c r="H42" s="27">
        <v>0</v>
      </c>
    </row>
    <row r="43" spans="1:8" x14ac:dyDescent="0.3">
      <c r="A43" s="44" t="s">
        <v>42</v>
      </c>
      <c r="B43" s="44" t="s">
        <v>42</v>
      </c>
      <c r="C43" s="26" t="s">
        <v>42</v>
      </c>
      <c r="D43" s="27" t="s">
        <v>42</v>
      </c>
      <c r="E43" s="43">
        <v>0</v>
      </c>
      <c r="F43" s="49"/>
      <c r="G43" s="26"/>
      <c r="H43" s="27" t="s">
        <v>42</v>
      </c>
    </row>
    <row r="44" spans="1:8" x14ac:dyDescent="0.3">
      <c r="A44" s="44">
        <v>447</v>
      </c>
      <c r="B44" s="44" t="str">
        <f>VLOOKUP(A44,colaborador,2,0)</f>
        <v>Marco da Rocha</v>
      </c>
      <c r="C44" s="26" t="s">
        <v>40</v>
      </c>
      <c r="D44" s="27" t="s">
        <v>5</v>
      </c>
      <c r="E44" s="43">
        <v>2609.6607942101955</v>
      </c>
      <c r="F44" s="49">
        <v>394</v>
      </c>
      <c r="G44" s="26"/>
      <c r="H44" s="27">
        <v>0</v>
      </c>
    </row>
    <row r="45" spans="1:8" x14ac:dyDescent="0.3">
      <c r="A45" s="44">
        <v>220</v>
      </c>
      <c r="B45" s="44" t="str">
        <f>VLOOKUP(A45,colaborador,2,0)</f>
        <v>David Vieira</v>
      </c>
      <c r="C45" s="26" t="s">
        <v>23</v>
      </c>
      <c r="D45" s="27" t="s">
        <v>5</v>
      </c>
      <c r="E45" s="43">
        <v>2810.6268736312154</v>
      </c>
      <c r="F45" s="49">
        <v>129</v>
      </c>
      <c r="G45" s="26"/>
      <c r="H45" s="27">
        <v>0</v>
      </c>
    </row>
    <row r="46" spans="1:8" x14ac:dyDescent="0.3">
      <c r="A46" s="44" t="s">
        <v>42</v>
      </c>
      <c r="B46" s="42" t="s">
        <v>44</v>
      </c>
      <c r="C46" s="26" t="s">
        <v>42</v>
      </c>
      <c r="D46" s="27" t="s">
        <v>42</v>
      </c>
      <c r="E46" s="43">
        <v>0</v>
      </c>
      <c r="F46" s="49"/>
      <c r="G46" s="26"/>
      <c r="H46" s="27" t="s">
        <v>42</v>
      </c>
    </row>
    <row r="47" spans="1:8" x14ac:dyDescent="0.3">
      <c r="A47" s="44">
        <v>427</v>
      </c>
      <c r="B47" s="44" t="str">
        <f>VLOOKUP(A47,colaborador,2,0)</f>
        <v>Danilo Mendes</v>
      </c>
      <c r="C47" s="26" t="s">
        <v>34</v>
      </c>
      <c r="D47" s="27" t="s">
        <v>5</v>
      </c>
      <c r="E47" s="43">
        <v>1826.7625559471371</v>
      </c>
      <c r="F47" s="49">
        <v>63</v>
      </c>
      <c r="G47" s="26"/>
      <c r="H47" s="27">
        <v>0</v>
      </c>
    </row>
    <row r="48" spans="1:8" x14ac:dyDescent="0.3">
      <c r="A48" s="44">
        <v>520</v>
      </c>
      <c r="B48" s="44" t="str">
        <f>VLOOKUP(A48,colaborador,2,0)</f>
        <v>Rogério Campos</v>
      </c>
      <c r="C48" s="26" t="s">
        <v>32</v>
      </c>
      <c r="D48" s="27" t="s">
        <v>62</v>
      </c>
      <c r="E48" s="54">
        <v>556.72763609817503</v>
      </c>
      <c r="F48" s="54">
        <v>99</v>
      </c>
      <c r="G48" s="26"/>
      <c r="H48" s="27">
        <v>0</v>
      </c>
    </row>
    <row r="49" spans="1:8" x14ac:dyDescent="0.3">
      <c r="A49" s="44">
        <v>502</v>
      </c>
      <c r="B49" s="44" t="str">
        <f>VLOOKUP(A49,colaborador,2,0)</f>
        <v>Lara de Assis</v>
      </c>
      <c r="C49" s="26" t="s">
        <v>27</v>
      </c>
      <c r="D49" s="27" t="s">
        <v>5</v>
      </c>
      <c r="E49" s="43">
        <v>782.89823826305872</v>
      </c>
      <c r="F49" s="49">
        <v>43</v>
      </c>
      <c r="G49" s="26"/>
      <c r="H49" s="27">
        <v>0</v>
      </c>
    </row>
    <row r="50" spans="1:8" x14ac:dyDescent="0.3">
      <c r="A50" s="46" t="s">
        <v>42</v>
      </c>
      <c r="B50" s="47" t="s">
        <v>45</v>
      </c>
      <c r="C50" s="26" t="s">
        <v>42</v>
      </c>
      <c r="D50" s="27" t="s">
        <v>42</v>
      </c>
      <c r="E50" s="54">
        <v>0</v>
      </c>
      <c r="F50" s="54"/>
      <c r="G50" s="26"/>
      <c r="H50" s="27">
        <v>0</v>
      </c>
    </row>
    <row r="51" spans="1:8" x14ac:dyDescent="0.3">
      <c r="A51" s="46">
        <v>356</v>
      </c>
      <c r="B51" s="44" t="str">
        <f>VLOOKUP(A51,colaborador,2,0)</f>
        <v>Beatriz Nunes</v>
      </c>
      <c r="C51" s="26" t="s">
        <v>40</v>
      </c>
      <c r="D51" s="27" t="s">
        <v>5</v>
      </c>
      <c r="E51" s="43">
        <v>1304.5</v>
      </c>
      <c r="F51" s="49">
        <v>475</v>
      </c>
      <c r="G51" s="26" t="s">
        <v>173</v>
      </c>
      <c r="H51" s="27">
        <v>0</v>
      </c>
    </row>
    <row r="52" spans="1:8" x14ac:dyDescent="0.3">
      <c r="A52" s="46">
        <v>487</v>
      </c>
      <c r="B52" s="44" t="str">
        <f>VLOOKUP(A52,colaborador,2,0)</f>
        <v>Aline da Cruz</v>
      </c>
      <c r="C52" s="26" t="s">
        <v>27</v>
      </c>
      <c r="D52" s="27" t="s">
        <v>5</v>
      </c>
      <c r="E52" s="43">
        <v>782.89823826305872</v>
      </c>
      <c r="F52" s="49"/>
      <c r="G52" s="26"/>
      <c r="H52" s="27">
        <v>0</v>
      </c>
    </row>
    <row r="53" spans="1:8" x14ac:dyDescent="0.3">
      <c r="A53" s="16" t="s">
        <v>42</v>
      </c>
      <c r="B53" s="53" t="s">
        <v>46</v>
      </c>
      <c r="C53" s="16" t="s">
        <v>42</v>
      </c>
      <c r="D53" s="16" t="s">
        <v>42</v>
      </c>
      <c r="E53" s="39">
        <v>0</v>
      </c>
      <c r="F53" s="39"/>
      <c r="G53" s="16"/>
      <c r="H53" s="27">
        <v>0</v>
      </c>
    </row>
    <row r="54" spans="1:8" x14ac:dyDescent="0.3">
      <c r="A54" s="46">
        <v>513</v>
      </c>
      <c r="B54" s="44" t="str">
        <f>VLOOKUP(A54,colaborador,2,0)</f>
        <v>Cícero de Souza</v>
      </c>
      <c r="C54" s="26" t="s">
        <v>32</v>
      </c>
      <c r="D54" s="27" t="s">
        <v>5</v>
      </c>
      <c r="E54" s="43">
        <v>1043.8643176840783</v>
      </c>
      <c r="F54" s="49">
        <v>99</v>
      </c>
      <c r="G54" s="26"/>
      <c r="H54" s="27">
        <v>0</v>
      </c>
    </row>
    <row r="55" spans="1:8" x14ac:dyDescent="0.3">
      <c r="A55" s="46">
        <v>498</v>
      </c>
      <c r="B55" s="44" t="str">
        <f>VLOOKUP(A55,colaborador,2,0)</f>
        <v>Artur Ferreira</v>
      </c>
      <c r="C55" s="26" t="s">
        <v>27</v>
      </c>
      <c r="D55" s="27" t="s">
        <v>5</v>
      </c>
      <c r="E55" s="43">
        <v>782.89823826305872</v>
      </c>
      <c r="F55" s="49"/>
      <c r="G55" s="26"/>
      <c r="H55" s="27">
        <v>0</v>
      </c>
    </row>
    <row r="56" spans="1:8" x14ac:dyDescent="0.3">
      <c r="A56" s="46">
        <v>441</v>
      </c>
      <c r="B56" s="44" t="str">
        <f>VLOOKUP(A56,colaborador,2,0)</f>
        <v>Cláudia Pinheiro</v>
      </c>
      <c r="C56" s="26" t="s">
        <v>51</v>
      </c>
      <c r="D56" s="27" t="s">
        <v>5</v>
      </c>
      <c r="E56" s="43">
        <v>0</v>
      </c>
      <c r="F56" s="49">
        <v>623</v>
      </c>
      <c r="G56" s="26"/>
      <c r="H56" s="27">
        <v>0</v>
      </c>
    </row>
    <row r="57" spans="1:8" x14ac:dyDescent="0.3">
      <c r="A57" s="16" t="s">
        <v>42</v>
      </c>
      <c r="B57" s="16" t="s">
        <v>42</v>
      </c>
      <c r="C57" s="16" t="s">
        <v>42</v>
      </c>
      <c r="D57" s="16" t="s">
        <v>42</v>
      </c>
      <c r="E57" s="50">
        <v>0</v>
      </c>
      <c r="F57" s="50"/>
      <c r="G57" s="16"/>
      <c r="H57" s="27" t="s">
        <v>42</v>
      </c>
    </row>
    <row r="58" spans="1:8" x14ac:dyDescent="0.3">
      <c r="A58" s="16"/>
      <c r="B58" s="16"/>
      <c r="C58" s="16"/>
      <c r="D58" s="16"/>
      <c r="E58" s="50"/>
      <c r="F58" s="50"/>
      <c r="G58" s="16"/>
      <c r="H58" s="16"/>
    </row>
    <row r="59" spans="1:8" ht="18" x14ac:dyDescent="0.35">
      <c r="C59" s="56"/>
      <c r="E59" s="52"/>
      <c r="F59" s="52"/>
    </row>
    <row r="60" spans="1:8" ht="18" x14ac:dyDescent="0.35">
      <c r="C60" s="57" t="s">
        <v>68</v>
      </c>
      <c r="E60" s="52"/>
      <c r="F60" s="52"/>
    </row>
    <row r="61" spans="1:8" x14ac:dyDescent="0.3">
      <c r="E61" s="52"/>
      <c r="F61" s="52"/>
    </row>
    <row r="62" spans="1:8" x14ac:dyDescent="0.3">
      <c r="E62" s="52"/>
      <c r="F62" s="52"/>
    </row>
    <row r="63" spans="1:8" x14ac:dyDescent="0.3">
      <c r="E63" s="52"/>
      <c r="F63" s="52"/>
    </row>
    <row r="64" spans="1:8" x14ac:dyDescent="0.3">
      <c r="E64" s="52"/>
      <c r="F64" s="52"/>
    </row>
  </sheetData>
  <pageMargins left="0.511811024" right="0.511811024" top="0.78740157499999996" bottom="0.78740157499999996" header="0.31496062000000002" footer="0.31496062000000002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tabSelected="1" view="pageBreakPreview" topLeftCell="A3" zoomScale="60" workbookViewId="0">
      <selection activeCell="B44" sqref="B44"/>
    </sheetView>
  </sheetViews>
  <sheetFormatPr defaultRowHeight="14.4" x14ac:dyDescent="0.3"/>
  <cols>
    <col min="1" max="1" width="19.77734375" customWidth="1"/>
    <col min="2" max="2" width="33.33203125" customWidth="1"/>
    <col min="3" max="3" width="22.77734375" customWidth="1"/>
    <col min="4" max="4" width="24.44140625" customWidth="1"/>
    <col min="5" max="5" width="14.33203125" customWidth="1"/>
    <col min="6" max="6" width="21.21875" bestFit="1" customWidth="1"/>
    <col min="8" max="8" width="9.6640625" bestFit="1" customWidth="1"/>
  </cols>
  <sheetData>
    <row r="1" spans="1:9" ht="15" thickBot="1" x14ac:dyDescent="0.35"/>
    <row r="2" spans="1:9" ht="21.6" thickBot="1" x14ac:dyDescent="0.45">
      <c r="A2" s="1"/>
      <c r="B2" s="2"/>
      <c r="C2" s="3" t="s">
        <v>0</v>
      </c>
      <c r="D2" s="2"/>
      <c r="E2" s="2"/>
      <c r="F2" s="4"/>
      <c r="G2" s="31"/>
      <c r="H2" s="31"/>
    </row>
    <row r="3" spans="1:9" ht="15.6" x14ac:dyDescent="0.3">
      <c r="A3" s="5"/>
      <c r="B3" s="6" t="s">
        <v>1</v>
      </c>
      <c r="C3" s="7">
        <f>'Comissão Salao'!C3</f>
        <v>46174</v>
      </c>
      <c r="D3" s="8"/>
      <c r="E3" s="8"/>
      <c r="F3" s="8"/>
      <c r="G3" s="31"/>
      <c r="H3" s="32"/>
    </row>
    <row r="4" spans="1:9" ht="15.6" x14ac:dyDescent="0.3">
      <c r="A4" s="9"/>
      <c r="B4" s="10"/>
      <c r="C4" s="11"/>
      <c r="D4" s="12"/>
      <c r="E4" s="12"/>
      <c r="F4" s="12"/>
      <c r="G4" s="32"/>
      <c r="H4" s="32"/>
    </row>
    <row r="5" spans="1:9" ht="28.8" x14ac:dyDescent="0.3">
      <c r="A5" s="13" t="s">
        <v>2</v>
      </c>
      <c r="B5" s="14" t="s">
        <v>3</v>
      </c>
      <c r="C5" s="14" t="s">
        <v>4</v>
      </c>
      <c r="D5" s="15" t="s">
        <v>5</v>
      </c>
      <c r="E5" s="15" t="s">
        <v>6</v>
      </c>
      <c r="F5" s="30" t="s">
        <v>8</v>
      </c>
      <c r="G5" s="34" t="s">
        <v>26</v>
      </c>
      <c r="H5" s="34" t="s">
        <v>25</v>
      </c>
      <c r="I5" s="33"/>
    </row>
    <row r="6" spans="1:9" x14ac:dyDescent="0.3">
      <c r="A6" s="46" t="s">
        <v>42</v>
      </c>
      <c r="B6" s="47" t="s">
        <v>47</v>
      </c>
      <c r="C6" s="26"/>
      <c r="D6" s="26"/>
      <c r="E6" s="43">
        <v>0</v>
      </c>
      <c r="F6" s="49"/>
      <c r="G6" s="26"/>
      <c r="H6" s="27" t="s">
        <v>42</v>
      </c>
    </row>
    <row r="7" spans="1:9" x14ac:dyDescent="0.3">
      <c r="A7" s="46">
        <v>370</v>
      </c>
      <c r="B7" s="44" t="str">
        <f>VLOOKUP(A7,colaborador,2,0)</f>
        <v>Leonardo Nunes</v>
      </c>
      <c r="C7" s="26" t="s">
        <v>18</v>
      </c>
      <c r="D7" s="27" t="s">
        <v>5</v>
      </c>
      <c r="E7" s="43">
        <v>1200.0076010075568</v>
      </c>
      <c r="F7" s="49"/>
      <c r="G7" s="26"/>
      <c r="H7" s="27">
        <v>0</v>
      </c>
    </row>
    <row r="8" spans="1:9" x14ac:dyDescent="0.3">
      <c r="A8" s="46">
        <v>518</v>
      </c>
      <c r="B8" s="44" t="str">
        <f>VLOOKUP(A8,colaborador,2,0)</f>
        <v>Júlio Medeiros</v>
      </c>
      <c r="C8" s="26" t="s">
        <v>174</v>
      </c>
      <c r="D8" s="27" t="s">
        <v>62</v>
      </c>
      <c r="E8" s="43">
        <v>525.00332544080607</v>
      </c>
      <c r="F8" s="49">
        <v>149</v>
      </c>
      <c r="G8" s="26"/>
      <c r="H8" s="27">
        <v>0</v>
      </c>
    </row>
    <row r="9" spans="1:9" x14ac:dyDescent="0.3">
      <c r="A9" s="46">
        <v>198</v>
      </c>
      <c r="B9" s="44" t="str">
        <f>VLOOKUP(A9,colaborador,2,0)</f>
        <v>Diego Amaral</v>
      </c>
      <c r="C9" s="26" t="s">
        <v>20</v>
      </c>
      <c r="D9" s="27" t="s">
        <v>5</v>
      </c>
      <c r="E9" s="43">
        <v>450.00285037783379</v>
      </c>
      <c r="F9" s="49"/>
      <c r="G9" s="26"/>
      <c r="H9" s="27">
        <v>0</v>
      </c>
    </row>
    <row r="10" spans="1:9" x14ac:dyDescent="0.3">
      <c r="A10" s="46">
        <v>54</v>
      </c>
      <c r="B10" s="44" t="str">
        <f>VLOOKUP(A10,colaborador,2,0)</f>
        <v>Renan de Barros</v>
      </c>
      <c r="C10" s="26" t="s">
        <v>17</v>
      </c>
      <c r="D10" s="27" t="s">
        <v>5</v>
      </c>
      <c r="E10" s="43">
        <v>3750.023753148615</v>
      </c>
      <c r="F10" s="49">
        <v>1122</v>
      </c>
      <c r="G10" s="26"/>
      <c r="H10" s="27">
        <v>0</v>
      </c>
    </row>
    <row r="11" spans="1:9" x14ac:dyDescent="0.3">
      <c r="A11" s="46" t="s">
        <v>42</v>
      </c>
      <c r="B11" s="47" t="s">
        <v>48</v>
      </c>
      <c r="C11" s="26" t="s">
        <v>42</v>
      </c>
      <c r="D11" s="27"/>
      <c r="E11" s="43">
        <v>0</v>
      </c>
      <c r="F11" s="49"/>
      <c r="G11" s="26"/>
      <c r="H11" s="27">
        <v>0</v>
      </c>
    </row>
    <row r="12" spans="1:9" x14ac:dyDescent="0.3">
      <c r="A12" s="46">
        <v>186</v>
      </c>
      <c r="B12" s="44" t="str">
        <f>VLOOKUP(A12,colaborador,2,0)</f>
        <v>Murilo da Fonseca</v>
      </c>
      <c r="C12" s="26" t="s">
        <v>18</v>
      </c>
      <c r="D12" s="27" t="s">
        <v>5</v>
      </c>
      <c r="E12" s="43">
        <v>1200.0076010075568</v>
      </c>
      <c r="F12" s="49"/>
      <c r="G12" s="26"/>
      <c r="H12" s="27">
        <v>0</v>
      </c>
    </row>
    <row r="13" spans="1:9" x14ac:dyDescent="0.3">
      <c r="A13" s="46">
        <v>358</v>
      </c>
      <c r="B13" s="44" t="str">
        <f>VLOOKUP(A13,colaborador,2,0)</f>
        <v>Francisca Martins</v>
      </c>
      <c r="C13" s="26" t="s">
        <v>22</v>
      </c>
      <c r="D13" s="27" t="s">
        <v>5</v>
      </c>
      <c r="E13" s="43">
        <v>300.0019002518892</v>
      </c>
      <c r="F13" s="49">
        <v>524</v>
      </c>
      <c r="G13" s="26"/>
      <c r="H13" s="27">
        <v>0</v>
      </c>
    </row>
    <row r="14" spans="1:9" x14ac:dyDescent="0.3">
      <c r="A14" s="46">
        <v>449</v>
      </c>
      <c r="B14" s="44" t="str">
        <f>VLOOKUP(A14,colaborador,2,0)</f>
        <v>Tatiane Santana</v>
      </c>
      <c r="C14" s="26" t="s">
        <v>52</v>
      </c>
      <c r="D14" s="27" t="s">
        <v>5</v>
      </c>
      <c r="E14" s="43">
        <v>534.00380050377839</v>
      </c>
      <c r="F14" s="49">
        <v>99</v>
      </c>
      <c r="G14" s="26"/>
      <c r="H14" s="27">
        <v>0</v>
      </c>
    </row>
    <row r="15" spans="1:9" x14ac:dyDescent="0.3">
      <c r="A15" s="46">
        <v>259</v>
      </c>
      <c r="B15" s="44" t="str">
        <f>VLOOKUP(A15,colaborador,2,0)</f>
        <v>Murilo Tavares</v>
      </c>
      <c r="C15" s="26" t="s">
        <v>18</v>
      </c>
      <c r="D15" s="27" t="s">
        <v>5</v>
      </c>
      <c r="E15" s="43">
        <v>1200.0076010075568</v>
      </c>
      <c r="F15" s="49">
        <v>349</v>
      </c>
      <c r="G15" s="26"/>
      <c r="H15" s="27">
        <v>0</v>
      </c>
    </row>
    <row r="16" spans="1:9" x14ac:dyDescent="0.3">
      <c r="A16" s="46">
        <v>399</v>
      </c>
      <c r="B16" s="44" t="str">
        <f>VLOOKUP(A16,colaborador,2,0)</f>
        <v>Paula Mota</v>
      </c>
      <c r="C16" s="26" t="s">
        <v>37</v>
      </c>
      <c r="D16" s="27" t="s">
        <v>5</v>
      </c>
      <c r="E16" s="43">
        <v>0</v>
      </c>
      <c r="F16" s="49">
        <v>100</v>
      </c>
      <c r="G16" s="26"/>
      <c r="H16" s="27">
        <v>0</v>
      </c>
    </row>
    <row r="17" spans="1:10" x14ac:dyDescent="0.3">
      <c r="A17" s="46">
        <v>445</v>
      </c>
      <c r="B17" s="44" t="str">
        <f>VLOOKUP(A17,colaborador,2,0)</f>
        <v>Daniel Júnior</v>
      </c>
      <c r="C17" s="26" t="s">
        <v>36</v>
      </c>
      <c r="D17" s="27" t="s">
        <v>5</v>
      </c>
      <c r="E17" s="43">
        <v>600.00380050377839</v>
      </c>
      <c r="F17" s="49">
        <v>99</v>
      </c>
      <c r="G17" s="26"/>
      <c r="H17" s="27">
        <v>0</v>
      </c>
    </row>
    <row r="18" spans="1:10" x14ac:dyDescent="0.3">
      <c r="A18" s="46">
        <v>496</v>
      </c>
      <c r="B18" s="44" t="str">
        <f>VLOOKUP(A18,colaborador,2,0)</f>
        <v>Caroline Duarte</v>
      </c>
      <c r="C18" s="26" t="s">
        <v>52</v>
      </c>
      <c r="D18" s="27" t="s">
        <v>5</v>
      </c>
      <c r="E18" s="43">
        <v>600.00380050377839</v>
      </c>
      <c r="F18" s="49">
        <v>524</v>
      </c>
      <c r="G18" s="26"/>
      <c r="H18" s="27">
        <v>0</v>
      </c>
    </row>
    <row r="19" spans="1:10" x14ac:dyDescent="0.3">
      <c r="A19" s="46">
        <v>481</v>
      </c>
      <c r="B19" s="44" t="str">
        <f>VLOOKUP(A19,colaborador,2,0)</f>
        <v>Flávia Neto</v>
      </c>
      <c r="C19" s="26" t="s">
        <v>22</v>
      </c>
      <c r="D19" s="27" t="s">
        <v>5</v>
      </c>
      <c r="E19" s="43">
        <v>300.0019002518892</v>
      </c>
      <c r="F19" s="49">
        <v>199</v>
      </c>
      <c r="G19" s="26"/>
      <c r="H19" s="27">
        <v>0</v>
      </c>
    </row>
    <row r="20" spans="1:10" x14ac:dyDescent="0.3">
      <c r="A20" s="46">
        <v>174</v>
      </c>
      <c r="B20" s="44" t="str">
        <f>VLOOKUP(A20,colaborador,2,0)</f>
        <v>Thaís Alves</v>
      </c>
      <c r="C20" s="26" t="s">
        <v>24</v>
      </c>
      <c r="D20" s="27" t="s">
        <v>5</v>
      </c>
      <c r="E20" s="43">
        <v>0</v>
      </c>
      <c r="F20" s="49"/>
      <c r="G20" s="26" t="s">
        <v>77</v>
      </c>
      <c r="H20" s="27">
        <v>0</v>
      </c>
    </row>
    <row r="21" spans="1:10" x14ac:dyDescent="0.3">
      <c r="A21" s="46">
        <v>506</v>
      </c>
      <c r="B21" s="44" t="str">
        <f>VLOOKUP(A21,colaborador,2,0)</f>
        <v>Leonardo de Araújo</v>
      </c>
      <c r="C21" s="26" t="s">
        <v>22</v>
      </c>
      <c r="D21" s="27" t="s">
        <v>5</v>
      </c>
      <c r="E21" s="43">
        <v>300.0019002518892</v>
      </c>
      <c r="F21" s="49">
        <v>99</v>
      </c>
      <c r="G21" s="26"/>
      <c r="H21" s="27">
        <v>0</v>
      </c>
    </row>
    <row r="22" spans="1:10" x14ac:dyDescent="0.3">
      <c r="A22" s="46">
        <v>374</v>
      </c>
      <c r="B22" s="44" t="str">
        <f>VLOOKUP(A22,colaborador,2,0)</f>
        <v>Ângela Cavalcante</v>
      </c>
      <c r="C22" s="26" t="s">
        <v>33</v>
      </c>
      <c r="D22" s="27" t="s">
        <v>5</v>
      </c>
      <c r="E22" s="43">
        <v>900.00570075566759</v>
      </c>
      <c r="F22" s="49">
        <v>99</v>
      </c>
      <c r="G22" s="26"/>
      <c r="H22" s="27">
        <v>0</v>
      </c>
    </row>
    <row r="23" spans="1:10" x14ac:dyDescent="0.3">
      <c r="A23" s="46">
        <v>485</v>
      </c>
      <c r="B23" s="44" t="str">
        <f>VLOOKUP(A23,colaborador,2,0)</f>
        <v>Geovana de Andrade</v>
      </c>
      <c r="C23" s="26" t="s">
        <v>61</v>
      </c>
      <c r="D23" s="27" t="s">
        <v>5</v>
      </c>
      <c r="E23" s="43">
        <v>3000.0190025188922</v>
      </c>
      <c r="F23" s="49">
        <v>619</v>
      </c>
      <c r="G23" s="26"/>
      <c r="H23" s="27">
        <v>0</v>
      </c>
      <c r="J23" s="41"/>
    </row>
    <row r="24" spans="1:10" x14ac:dyDescent="0.3">
      <c r="A24" s="46">
        <v>446</v>
      </c>
      <c r="B24" s="44" t="str">
        <f>VLOOKUP(A24,colaborador,2,0)</f>
        <v>Bianca de Brito</v>
      </c>
      <c r="C24" s="26" t="s">
        <v>22</v>
      </c>
      <c r="D24" s="27" t="s">
        <v>5</v>
      </c>
      <c r="E24" s="43">
        <v>300.0019002518892</v>
      </c>
      <c r="F24" s="49">
        <v>99</v>
      </c>
      <c r="G24" s="26"/>
      <c r="H24" s="27">
        <v>0</v>
      </c>
    </row>
    <row r="25" spans="1:10" x14ac:dyDescent="0.3">
      <c r="A25" s="46">
        <v>510</v>
      </c>
      <c r="B25" s="44" t="str">
        <f>VLOOKUP(A25,colaborador,2,0)</f>
        <v>Robson da Rosa</v>
      </c>
      <c r="C25" s="26" t="s">
        <v>37</v>
      </c>
      <c r="D25" s="27" t="s">
        <v>5</v>
      </c>
      <c r="E25" s="43">
        <v>300.0019002518892</v>
      </c>
      <c r="F25" s="49">
        <v>249</v>
      </c>
      <c r="G25" s="26"/>
      <c r="H25" s="27">
        <v>0</v>
      </c>
    </row>
    <row r="26" spans="1:10" x14ac:dyDescent="0.3">
      <c r="A26" s="46">
        <v>372</v>
      </c>
      <c r="B26" s="44" t="str">
        <f>VLOOKUP(A26,colaborador,2,0)</f>
        <v>Débora Cavalcante</v>
      </c>
      <c r="C26" s="26" t="s">
        <v>69</v>
      </c>
      <c r="D26" s="27" t="s">
        <v>5</v>
      </c>
      <c r="E26" s="43">
        <v>0</v>
      </c>
      <c r="F26" s="49">
        <v>149</v>
      </c>
      <c r="G26" s="26"/>
      <c r="H26" s="27">
        <v>0</v>
      </c>
    </row>
    <row r="27" spans="1:10" x14ac:dyDescent="0.3">
      <c r="A27" s="46">
        <v>516</v>
      </c>
      <c r="B27" s="44" t="str">
        <f>VLOOKUP(A27,colaborador,2,0)</f>
        <v>Rogério Miranda</v>
      </c>
      <c r="C27" s="26" t="s">
        <v>52</v>
      </c>
      <c r="D27" s="27" t="s">
        <v>62</v>
      </c>
      <c r="E27" s="43">
        <v>600.00380050377839</v>
      </c>
      <c r="F27" s="49"/>
      <c r="G27" s="26"/>
      <c r="H27" s="27">
        <v>0</v>
      </c>
    </row>
    <row r="28" spans="1:10" x14ac:dyDescent="0.3">
      <c r="A28" s="46">
        <v>256</v>
      </c>
      <c r="B28" s="44" t="str">
        <f>VLOOKUP(A28,colaborador,2,0)</f>
        <v>Manoel de Almeida</v>
      </c>
      <c r="C28" s="26" t="s">
        <v>30</v>
      </c>
      <c r="D28" s="27" t="s">
        <v>5</v>
      </c>
      <c r="E28" s="43">
        <v>1800.0114015113352</v>
      </c>
      <c r="F28" s="49">
        <v>99</v>
      </c>
      <c r="G28" s="26"/>
      <c r="H28" s="27">
        <v>0</v>
      </c>
    </row>
    <row r="29" spans="1:10" x14ac:dyDescent="0.3">
      <c r="A29" s="46">
        <v>229</v>
      </c>
      <c r="B29" s="44" t="str">
        <f>VLOOKUP(A29,colaborador,2,0)</f>
        <v>Igor de Souza</v>
      </c>
      <c r="C29" s="26" t="s">
        <v>38</v>
      </c>
      <c r="D29" s="27" t="s">
        <v>5</v>
      </c>
      <c r="E29" s="43">
        <v>0</v>
      </c>
      <c r="F29" s="49">
        <v>121</v>
      </c>
      <c r="G29" s="26"/>
      <c r="H29" s="27">
        <v>0</v>
      </c>
    </row>
    <row r="30" spans="1:10" x14ac:dyDescent="0.3">
      <c r="A30" s="46">
        <v>187</v>
      </c>
      <c r="B30" s="44" t="str">
        <f>VLOOKUP(A30,colaborador,2,0)</f>
        <v>Amanda Soares</v>
      </c>
      <c r="C30" s="26" t="s">
        <v>19</v>
      </c>
      <c r="D30" s="27" t="s">
        <v>5</v>
      </c>
      <c r="E30" s="43">
        <v>1500.0095012594461</v>
      </c>
      <c r="F30" s="49">
        <v>349</v>
      </c>
      <c r="G30" s="26"/>
      <c r="H30" s="27">
        <v>0</v>
      </c>
    </row>
    <row r="31" spans="1:10" x14ac:dyDescent="0.3">
      <c r="A31" s="46">
        <v>321</v>
      </c>
      <c r="B31" s="44" t="str">
        <f>VLOOKUP(A31,colaborador,2,0)</f>
        <v>Ana Amaral</v>
      </c>
      <c r="C31" s="26" t="s">
        <v>18</v>
      </c>
      <c r="D31" s="27" t="s">
        <v>5</v>
      </c>
      <c r="E31" s="43">
        <v>1200.0076010075568</v>
      </c>
      <c r="F31" s="49"/>
      <c r="G31" s="26"/>
      <c r="H31" s="27">
        <v>0</v>
      </c>
    </row>
    <row r="32" spans="1:10" x14ac:dyDescent="0.3">
      <c r="A32" s="46" t="s">
        <v>42</v>
      </c>
      <c r="B32" s="46" t="s">
        <v>49</v>
      </c>
      <c r="C32" s="26" t="s">
        <v>42</v>
      </c>
      <c r="D32" s="27" t="s">
        <v>42</v>
      </c>
      <c r="E32" s="43">
        <v>0</v>
      </c>
      <c r="F32" s="49"/>
      <c r="G32" s="26"/>
      <c r="H32" s="27" t="s">
        <v>42</v>
      </c>
    </row>
    <row r="33" spans="1:8" x14ac:dyDescent="0.3">
      <c r="A33" s="46" t="s">
        <v>42</v>
      </c>
      <c r="B33" s="46" t="s">
        <v>42</v>
      </c>
      <c r="C33" s="26" t="s">
        <v>42</v>
      </c>
      <c r="D33" s="27" t="s">
        <v>42</v>
      </c>
      <c r="E33" s="43">
        <v>0</v>
      </c>
      <c r="F33" s="49"/>
      <c r="G33" s="26"/>
      <c r="H33" s="27" t="s">
        <v>42</v>
      </c>
    </row>
    <row r="34" spans="1:8" x14ac:dyDescent="0.3">
      <c r="A34" s="46" t="s">
        <v>42</v>
      </c>
      <c r="B34" s="46" t="s">
        <v>42</v>
      </c>
      <c r="C34" s="26" t="s">
        <v>42</v>
      </c>
      <c r="D34" s="27" t="s">
        <v>42</v>
      </c>
      <c r="E34" s="43">
        <v>0</v>
      </c>
      <c r="F34" s="49"/>
      <c r="G34" s="26"/>
      <c r="H34" s="27" t="s">
        <v>42</v>
      </c>
    </row>
    <row r="35" spans="1:8" x14ac:dyDescent="0.3">
      <c r="A35" s="46">
        <v>311</v>
      </c>
      <c r="B35" s="44" t="str">
        <f>VLOOKUP(A35,colaborador,2,0)</f>
        <v>Priscila Dias</v>
      </c>
      <c r="C35" s="26" t="s">
        <v>35</v>
      </c>
      <c r="D35" s="27" t="s">
        <v>5</v>
      </c>
      <c r="E35" s="43">
        <v>1050.0066508816121</v>
      </c>
      <c r="F35" s="49">
        <v>299</v>
      </c>
      <c r="G35" s="26"/>
      <c r="H35" s="27">
        <v>0</v>
      </c>
    </row>
    <row r="36" spans="1:8" x14ac:dyDescent="0.3">
      <c r="A36" s="46">
        <v>369</v>
      </c>
      <c r="B36" s="44" t="str">
        <f>VLOOKUP(A36,colaborador,2,0)</f>
        <v>Robson de Moraes</v>
      </c>
      <c r="C36" s="26" t="s">
        <v>18</v>
      </c>
      <c r="D36" s="27" t="s">
        <v>5</v>
      </c>
      <c r="E36" s="43">
        <v>0</v>
      </c>
      <c r="F36" s="49">
        <v>150</v>
      </c>
      <c r="G36" s="26"/>
      <c r="H36" s="27">
        <v>0</v>
      </c>
    </row>
    <row r="37" spans="1:8" x14ac:dyDescent="0.3">
      <c r="A37" s="46">
        <v>253</v>
      </c>
      <c r="B37" s="44" t="str">
        <f>VLOOKUP(A37,colaborador,2,0)</f>
        <v>Nicolas da Fonseca</v>
      </c>
      <c r="C37" s="26" t="s">
        <v>21</v>
      </c>
      <c r="D37" s="27" t="s">
        <v>5</v>
      </c>
      <c r="E37" s="43">
        <v>600.00380050377839</v>
      </c>
      <c r="F37" s="49"/>
      <c r="G37" s="26"/>
      <c r="H37" s="27">
        <v>0</v>
      </c>
    </row>
    <row r="38" spans="1:8" x14ac:dyDescent="0.3">
      <c r="A38" s="46">
        <v>464</v>
      </c>
      <c r="B38" s="44" t="str">
        <f>VLOOKUP(A38,colaborador,2,0)</f>
        <v>Sueli Cordeiro</v>
      </c>
      <c r="C38" s="26" t="s">
        <v>37</v>
      </c>
      <c r="D38" s="27" t="s">
        <v>5</v>
      </c>
      <c r="E38" s="43">
        <v>300.0019002518892</v>
      </c>
      <c r="F38" s="49"/>
      <c r="G38" s="26"/>
      <c r="H38" s="27">
        <v>0</v>
      </c>
    </row>
    <row r="39" spans="1:8" x14ac:dyDescent="0.3">
      <c r="A39" s="46">
        <v>331</v>
      </c>
      <c r="B39" s="44" t="str">
        <f>VLOOKUP(A39,colaborador,2,0)</f>
        <v>Nelson Siqueira</v>
      </c>
      <c r="C39" s="26" t="s">
        <v>53</v>
      </c>
      <c r="D39" s="27" t="s">
        <v>5</v>
      </c>
      <c r="E39" s="43">
        <v>0</v>
      </c>
      <c r="F39" s="49"/>
      <c r="G39" s="26" t="s">
        <v>83</v>
      </c>
      <c r="H39" s="27">
        <v>0</v>
      </c>
    </row>
    <row r="40" spans="1:8" x14ac:dyDescent="0.3">
      <c r="A40" s="46">
        <v>483</v>
      </c>
      <c r="B40" s="44" t="str">
        <f>VLOOKUP(A40,colaborador,2,0)</f>
        <v>Francisco de Castro</v>
      </c>
      <c r="C40" s="26" t="s">
        <v>38</v>
      </c>
      <c r="D40" s="27" t="s">
        <v>5</v>
      </c>
      <c r="E40" s="43">
        <v>986.00665088161213</v>
      </c>
      <c r="F40" s="49">
        <v>199</v>
      </c>
      <c r="G40" s="26"/>
      <c r="H40" s="27">
        <v>0</v>
      </c>
    </row>
    <row r="41" spans="1:8" x14ac:dyDescent="0.3">
      <c r="A41" s="46">
        <v>203</v>
      </c>
      <c r="B41" s="44" t="str">
        <f>VLOOKUP(A41,colaborador,2,0)</f>
        <v>Caroline Barbosa</v>
      </c>
      <c r="C41" s="26" t="s">
        <v>21</v>
      </c>
      <c r="D41" s="27" t="s">
        <v>5</v>
      </c>
      <c r="E41" s="43">
        <v>600.00380050377839</v>
      </c>
      <c r="F41" s="49"/>
      <c r="G41" s="26"/>
      <c r="H41" s="27">
        <v>0</v>
      </c>
    </row>
    <row r="42" spans="1:8" x14ac:dyDescent="0.3">
      <c r="A42" s="46">
        <v>515</v>
      </c>
      <c r="B42" s="44" t="str">
        <f>VLOOKUP(A42,colaborador,2,0)</f>
        <v>Vitória Corrêa</v>
      </c>
      <c r="C42" s="26" t="s">
        <v>22</v>
      </c>
      <c r="D42" s="27" t="s">
        <v>62</v>
      </c>
      <c r="E42" s="43">
        <v>300.0019002518892</v>
      </c>
      <c r="F42" s="49">
        <v>99</v>
      </c>
      <c r="G42" s="26"/>
      <c r="H42" s="27">
        <v>0</v>
      </c>
    </row>
    <row r="43" spans="1:8" x14ac:dyDescent="0.3">
      <c r="A43" s="46" t="s">
        <v>42</v>
      </c>
      <c r="B43" s="46" t="s">
        <v>42</v>
      </c>
      <c r="C43" s="26" t="s">
        <v>42</v>
      </c>
      <c r="D43" s="27" t="s">
        <v>42</v>
      </c>
      <c r="E43" s="43">
        <v>0</v>
      </c>
      <c r="F43" s="49"/>
      <c r="G43" s="26"/>
      <c r="H43" s="27" t="s">
        <v>42</v>
      </c>
    </row>
    <row r="44" spans="1:8" x14ac:dyDescent="0.3">
      <c r="A44" s="46" t="s">
        <v>42</v>
      </c>
      <c r="B44" s="47" t="s">
        <v>50</v>
      </c>
      <c r="C44" s="26" t="s">
        <v>42</v>
      </c>
      <c r="D44" s="27" t="s">
        <v>42</v>
      </c>
      <c r="E44" s="43">
        <v>0</v>
      </c>
      <c r="F44" s="49"/>
      <c r="G44" s="26"/>
      <c r="H44" s="27">
        <v>0</v>
      </c>
    </row>
    <row r="45" spans="1:8" x14ac:dyDescent="0.3">
      <c r="A45" s="46">
        <v>514</v>
      </c>
      <c r="B45" s="44" t="str">
        <f>VLOOKUP(A45,colaborador,2,0)</f>
        <v>Josefa Queiroz</v>
      </c>
      <c r="C45" s="26" t="s">
        <v>52</v>
      </c>
      <c r="D45" s="27" t="s">
        <v>5</v>
      </c>
      <c r="E45" s="43">
        <v>600.00380050377839</v>
      </c>
      <c r="F45" s="49">
        <v>99</v>
      </c>
      <c r="G45" s="26"/>
      <c r="H45" s="27">
        <v>0</v>
      </c>
    </row>
    <row r="46" spans="1:8" x14ac:dyDescent="0.3">
      <c r="A46" s="46">
        <v>452</v>
      </c>
      <c r="B46" s="44" t="str">
        <f>VLOOKUP(A46,colaborador,2,0)</f>
        <v>Flávio Nunes</v>
      </c>
      <c r="C46" s="26" t="s">
        <v>22</v>
      </c>
      <c r="D46" s="27" t="s">
        <v>5</v>
      </c>
      <c r="E46" s="43">
        <v>300.0019002518892</v>
      </c>
      <c r="F46" s="49">
        <v>199</v>
      </c>
      <c r="G46" s="26"/>
      <c r="H46" s="27">
        <v>0</v>
      </c>
    </row>
    <row r="47" spans="1:8" x14ac:dyDescent="0.3">
      <c r="A47" s="46">
        <v>402</v>
      </c>
      <c r="B47" s="44" t="str">
        <f>VLOOKUP(A47,colaborador,2,0)</f>
        <v>Rita Batista</v>
      </c>
      <c r="C47" s="26" t="s">
        <v>69</v>
      </c>
      <c r="D47" s="27" t="s">
        <v>5</v>
      </c>
      <c r="E47" s="43">
        <v>1350.0085511335014</v>
      </c>
      <c r="F47" s="49">
        <v>599</v>
      </c>
      <c r="G47" s="26"/>
      <c r="H47" s="27">
        <v>0</v>
      </c>
    </row>
    <row r="48" spans="1:8" x14ac:dyDescent="0.3">
      <c r="A48" s="16"/>
      <c r="B48" s="51"/>
      <c r="C48" s="26"/>
      <c r="D48" s="27"/>
      <c r="E48" s="16"/>
      <c r="F48" s="16"/>
      <c r="G48" s="16"/>
      <c r="H48" s="16"/>
    </row>
    <row r="49" spans="1:8" x14ac:dyDescent="0.3">
      <c r="A49" s="16"/>
      <c r="B49" s="16"/>
      <c r="C49" s="16"/>
      <c r="D49" s="16"/>
      <c r="E49" s="16"/>
      <c r="F49" s="16"/>
      <c r="G49" s="16"/>
      <c r="H49" s="16"/>
    </row>
    <row r="50" spans="1:8" x14ac:dyDescent="0.3">
      <c r="A50" s="16"/>
      <c r="B50" s="16"/>
      <c r="C50" s="16"/>
      <c r="D50" s="16"/>
      <c r="E50" s="16"/>
      <c r="F50" s="16"/>
      <c r="G50" s="16"/>
      <c r="H50" s="16"/>
    </row>
    <row r="51" spans="1:8" ht="15.6" x14ac:dyDescent="0.3">
      <c r="A51" s="16"/>
      <c r="B51" s="16"/>
      <c r="C51" s="58" t="s">
        <v>70</v>
      </c>
      <c r="D51" s="16"/>
      <c r="E51" s="16"/>
      <c r="F51" s="16"/>
      <c r="G51" s="16"/>
      <c r="H51" s="16"/>
    </row>
  </sheetData>
  <pageMargins left="0.511811024" right="0.511811024" top="0.78740157499999996" bottom="0.78740157499999996" header="0.31496062000000002" footer="0.31496062000000002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5AE7-240A-4035-BD07-78E3FBBD240D}">
  <dimension ref="A1:B84"/>
  <sheetViews>
    <sheetView workbookViewId="0">
      <selection sqref="A1:B1048576"/>
    </sheetView>
  </sheetViews>
  <sheetFormatPr defaultRowHeight="14.4" x14ac:dyDescent="0.3"/>
  <cols>
    <col min="1" max="1" width="4.33203125" bestFit="1" customWidth="1"/>
    <col min="2" max="2" width="19.109375" bestFit="1" customWidth="1"/>
  </cols>
  <sheetData>
    <row r="1" spans="1:2" x14ac:dyDescent="0.3">
      <c r="A1" t="s">
        <v>259</v>
      </c>
      <c r="B1" t="s">
        <v>260</v>
      </c>
    </row>
    <row r="2" spans="1:2" x14ac:dyDescent="0.3">
      <c r="A2" s="24">
        <v>370</v>
      </c>
      <c r="B2" s="25" t="s">
        <v>176</v>
      </c>
    </row>
    <row r="3" spans="1:2" x14ac:dyDescent="0.3">
      <c r="A3" s="24">
        <v>198</v>
      </c>
      <c r="B3" s="25" t="s">
        <v>177</v>
      </c>
    </row>
    <row r="4" spans="1:2" x14ac:dyDescent="0.3">
      <c r="A4" s="24">
        <v>494</v>
      </c>
      <c r="B4" s="25" t="s">
        <v>178</v>
      </c>
    </row>
    <row r="5" spans="1:2" x14ac:dyDescent="0.3">
      <c r="A5" s="24">
        <v>428</v>
      </c>
      <c r="B5" s="25" t="s">
        <v>179</v>
      </c>
    </row>
    <row r="6" spans="1:2" x14ac:dyDescent="0.3">
      <c r="A6" s="24">
        <v>54</v>
      </c>
      <c r="B6" s="25" t="s">
        <v>180</v>
      </c>
    </row>
    <row r="7" spans="1:2" x14ac:dyDescent="0.3">
      <c r="A7" s="24">
        <v>491</v>
      </c>
      <c r="B7" s="25" t="s">
        <v>181</v>
      </c>
    </row>
    <row r="8" spans="1:2" x14ac:dyDescent="0.3">
      <c r="A8" s="24">
        <v>186</v>
      </c>
      <c r="B8" s="25" t="s">
        <v>182</v>
      </c>
    </row>
    <row r="9" spans="1:2" x14ac:dyDescent="0.3">
      <c r="A9" s="24">
        <v>358</v>
      </c>
      <c r="B9" s="25" t="s">
        <v>183</v>
      </c>
    </row>
    <row r="10" spans="1:2" x14ac:dyDescent="0.3">
      <c r="A10" s="24">
        <v>373</v>
      </c>
      <c r="B10" s="25" t="s">
        <v>184</v>
      </c>
    </row>
    <row r="11" spans="1:2" x14ac:dyDescent="0.3">
      <c r="A11" s="24">
        <v>453</v>
      </c>
      <c r="B11" s="25" t="s">
        <v>185</v>
      </c>
    </row>
    <row r="12" spans="1:2" x14ac:dyDescent="0.3">
      <c r="A12" s="24">
        <v>81</v>
      </c>
      <c r="B12" s="25" t="s">
        <v>186</v>
      </c>
    </row>
    <row r="13" spans="1:2" x14ac:dyDescent="0.3">
      <c r="A13" s="24">
        <v>479</v>
      </c>
      <c r="B13" s="25" t="s">
        <v>187</v>
      </c>
    </row>
    <row r="14" spans="1:2" x14ac:dyDescent="0.3">
      <c r="A14" s="24">
        <v>520</v>
      </c>
      <c r="B14" s="16" t="s">
        <v>188</v>
      </c>
    </row>
    <row r="15" spans="1:2" x14ac:dyDescent="0.3">
      <c r="A15" s="24">
        <v>524</v>
      </c>
      <c r="B15" s="25" t="s">
        <v>189</v>
      </c>
    </row>
    <row r="16" spans="1:2" x14ac:dyDescent="0.3">
      <c r="A16" s="24">
        <v>449</v>
      </c>
      <c r="B16" s="25" t="s">
        <v>190</v>
      </c>
    </row>
    <row r="17" spans="1:2" x14ac:dyDescent="0.3">
      <c r="A17" s="24">
        <v>13</v>
      </c>
      <c r="B17" s="25" t="s">
        <v>191</v>
      </c>
    </row>
    <row r="18" spans="1:2" x14ac:dyDescent="0.3">
      <c r="A18" s="20">
        <v>259</v>
      </c>
      <c r="B18" s="16" t="s">
        <v>192</v>
      </c>
    </row>
    <row r="19" spans="1:2" x14ac:dyDescent="0.3">
      <c r="A19" s="24">
        <v>399</v>
      </c>
      <c r="B19" s="25" t="s">
        <v>193</v>
      </c>
    </row>
    <row r="20" spans="1:2" x14ac:dyDescent="0.3">
      <c r="A20" s="24">
        <v>43</v>
      </c>
      <c r="B20" s="25" t="s">
        <v>194</v>
      </c>
    </row>
    <row r="21" spans="1:2" x14ac:dyDescent="0.3">
      <c r="A21" s="24">
        <v>445</v>
      </c>
      <c r="B21" s="25" t="s">
        <v>195</v>
      </c>
    </row>
    <row r="22" spans="1:2" x14ac:dyDescent="0.3">
      <c r="A22" s="24">
        <v>496</v>
      </c>
      <c r="B22" s="25" t="s">
        <v>196</v>
      </c>
    </row>
    <row r="23" spans="1:2" x14ac:dyDescent="0.3">
      <c r="A23" s="24">
        <v>481</v>
      </c>
      <c r="B23" s="25" t="s">
        <v>197</v>
      </c>
    </row>
    <row r="24" spans="1:2" x14ac:dyDescent="0.3">
      <c r="A24" s="24">
        <v>264</v>
      </c>
      <c r="B24" s="25" t="s">
        <v>198</v>
      </c>
    </row>
    <row r="25" spans="1:2" x14ac:dyDescent="0.3">
      <c r="A25" s="24">
        <v>518</v>
      </c>
      <c r="B25" s="25" t="s">
        <v>199</v>
      </c>
    </row>
    <row r="26" spans="1:2" x14ac:dyDescent="0.3">
      <c r="A26" s="20">
        <v>346</v>
      </c>
      <c r="B26" s="16" t="s">
        <v>200</v>
      </c>
    </row>
    <row r="27" spans="1:2" x14ac:dyDescent="0.3">
      <c r="A27" s="24">
        <v>174</v>
      </c>
      <c r="B27" s="16" t="s">
        <v>201</v>
      </c>
    </row>
    <row r="28" spans="1:2" x14ac:dyDescent="0.3">
      <c r="A28" s="24">
        <v>506</v>
      </c>
      <c r="B28" s="25" t="s">
        <v>202</v>
      </c>
    </row>
    <row r="29" spans="1:2" x14ac:dyDescent="0.3">
      <c r="A29" s="24">
        <v>129</v>
      </c>
      <c r="B29" s="25" t="s">
        <v>203</v>
      </c>
    </row>
    <row r="30" spans="1:2" x14ac:dyDescent="0.3">
      <c r="A30" s="24">
        <v>374</v>
      </c>
      <c r="B30" s="25" t="s">
        <v>204</v>
      </c>
    </row>
    <row r="31" spans="1:2" x14ac:dyDescent="0.3">
      <c r="A31" s="24">
        <v>474</v>
      </c>
      <c r="B31" s="25" t="s">
        <v>205</v>
      </c>
    </row>
    <row r="32" spans="1:2" x14ac:dyDescent="0.3">
      <c r="A32" s="24">
        <v>84</v>
      </c>
      <c r="B32" s="25" t="s">
        <v>206</v>
      </c>
    </row>
    <row r="33" spans="1:2" x14ac:dyDescent="0.3">
      <c r="A33" s="24">
        <v>272</v>
      </c>
      <c r="B33" s="16" t="s">
        <v>207</v>
      </c>
    </row>
    <row r="34" spans="1:2" x14ac:dyDescent="0.3">
      <c r="A34" s="24">
        <v>485</v>
      </c>
      <c r="B34" s="25" t="s">
        <v>208</v>
      </c>
    </row>
    <row r="35" spans="1:2" x14ac:dyDescent="0.3">
      <c r="A35" s="24">
        <v>511</v>
      </c>
      <c r="B35" s="25" t="s">
        <v>209</v>
      </c>
    </row>
    <row r="36" spans="1:2" x14ac:dyDescent="0.3">
      <c r="A36" s="24">
        <v>446</v>
      </c>
      <c r="B36" s="25" t="s">
        <v>210</v>
      </c>
    </row>
    <row r="37" spans="1:2" x14ac:dyDescent="0.3">
      <c r="A37" s="24">
        <v>412</v>
      </c>
      <c r="B37" s="25" t="s">
        <v>211</v>
      </c>
    </row>
    <row r="38" spans="1:2" x14ac:dyDescent="0.3">
      <c r="A38" s="24">
        <v>309</v>
      </c>
      <c r="B38" s="25" t="s">
        <v>212</v>
      </c>
    </row>
    <row r="39" spans="1:2" x14ac:dyDescent="0.3">
      <c r="A39" s="24">
        <v>515</v>
      </c>
      <c r="B39" s="16" t="s">
        <v>213</v>
      </c>
    </row>
    <row r="40" spans="1:2" x14ac:dyDescent="0.3">
      <c r="A40" s="24">
        <v>149</v>
      </c>
      <c r="B40" s="25" t="s">
        <v>214</v>
      </c>
    </row>
    <row r="41" spans="1:2" x14ac:dyDescent="0.3">
      <c r="A41" s="24">
        <v>194</v>
      </c>
      <c r="B41" s="25" t="s">
        <v>215</v>
      </c>
    </row>
    <row r="42" spans="1:2" x14ac:dyDescent="0.3">
      <c r="A42" s="24">
        <v>508</v>
      </c>
      <c r="B42" s="25" t="s">
        <v>216</v>
      </c>
    </row>
    <row r="43" spans="1:2" x14ac:dyDescent="0.3">
      <c r="A43" s="24">
        <v>82</v>
      </c>
      <c r="B43" s="16" t="s">
        <v>217</v>
      </c>
    </row>
    <row r="44" spans="1:2" x14ac:dyDescent="0.3">
      <c r="A44" s="24">
        <v>510</v>
      </c>
      <c r="B44" s="25" t="s">
        <v>218</v>
      </c>
    </row>
    <row r="45" spans="1:2" x14ac:dyDescent="0.3">
      <c r="A45" s="24">
        <v>372</v>
      </c>
      <c r="B45" s="25" t="s">
        <v>219</v>
      </c>
    </row>
    <row r="46" spans="1:2" x14ac:dyDescent="0.3">
      <c r="A46" s="24">
        <v>500</v>
      </c>
      <c r="B46" s="25" t="s">
        <v>220</v>
      </c>
    </row>
    <row r="47" spans="1:2" x14ac:dyDescent="0.3">
      <c r="A47" s="24">
        <v>336</v>
      </c>
      <c r="B47" s="25" t="s">
        <v>221</v>
      </c>
    </row>
    <row r="48" spans="1:2" x14ac:dyDescent="0.3">
      <c r="A48" s="24">
        <v>256</v>
      </c>
      <c r="B48" s="16" t="s">
        <v>222</v>
      </c>
    </row>
    <row r="49" spans="1:2" x14ac:dyDescent="0.3">
      <c r="A49" s="24">
        <v>229</v>
      </c>
      <c r="B49" s="25" t="s">
        <v>223</v>
      </c>
    </row>
    <row r="50" spans="1:2" x14ac:dyDescent="0.3">
      <c r="A50" s="24">
        <v>398</v>
      </c>
      <c r="B50" s="25" t="s">
        <v>224</v>
      </c>
    </row>
    <row r="51" spans="1:2" x14ac:dyDescent="0.3">
      <c r="A51" s="24">
        <v>406</v>
      </c>
      <c r="B51" s="25" t="s">
        <v>225</v>
      </c>
    </row>
    <row r="52" spans="1:2" x14ac:dyDescent="0.3">
      <c r="A52" s="24">
        <v>187</v>
      </c>
      <c r="B52" s="25" t="s">
        <v>226</v>
      </c>
    </row>
    <row r="53" spans="1:2" x14ac:dyDescent="0.3">
      <c r="A53" s="16">
        <v>321</v>
      </c>
      <c r="B53" s="16" t="s">
        <v>227</v>
      </c>
    </row>
    <row r="54" spans="1:2" x14ac:dyDescent="0.3">
      <c r="A54" s="24">
        <v>523</v>
      </c>
      <c r="B54" s="25" t="s">
        <v>228</v>
      </c>
    </row>
    <row r="55" spans="1:2" x14ac:dyDescent="0.3">
      <c r="A55" s="24">
        <v>311</v>
      </c>
      <c r="B55" s="25" t="s">
        <v>229</v>
      </c>
    </row>
    <row r="56" spans="1:2" x14ac:dyDescent="0.3">
      <c r="A56" s="24">
        <v>369</v>
      </c>
      <c r="B56" s="25" t="s">
        <v>230</v>
      </c>
    </row>
    <row r="57" spans="1:2" x14ac:dyDescent="0.3">
      <c r="A57" s="24">
        <v>101</v>
      </c>
      <c r="B57" s="25" t="s">
        <v>231</v>
      </c>
    </row>
    <row r="58" spans="1:2" x14ac:dyDescent="0.3">
      <c r="A58" s="24">
        <v>266</v>
      </c>
      <c r="B58" s="25" t="s">
        <v>232</v>
      </c>
    </row>
    <row r="59" spans="1:2" x14ac:dyDescent="0.3">
      <c r="A59" s="24">
        <v>478</v>
      </c>
      <c r="B59" s="25" t="s">
        <v>233</v>
      </c>
    </row>
    <row r="60" spans="1:2" x14ac:dyDescent="0.3">
      <c r="A60" s="24">
        <v>519</v>
      </c>
      <c r="B60" s="25" t="s">
        <v>234</v>
      </c>
    </row>
    <row r="61" spans="1:2" x14ac:dyDescent="0.3">
      <c r="A61" s="24">
        <v>522</v>
      </c>
      <c r="B61" s="25" t="s">
        <v>235</v>
      </c>
    </row>
    <row r="62" spans="1:2" x14ac:dyDescent="0.3">
      <c r="A62" s="24">
        <v>253</v>
      </c>
      <c r="B62" s="25" t="s">
        <v>236</v>
      </c>
    </row>
    <row r="63" spans="1:2" x14ac:dyDescent="0.3">
      <c r="A63" s="24">
        <v>521</v>
      </c>
      <c r="B63" s="16" t="s">
        <v>237</v>
      </c>
    </row>
    <row r="64" spans="1:2" x14ac:dyDescent="0.3">
      <c r="A64" s="24">
        <v>464</v>
      </c>
      <c r="B64" s="16" t="s">
        <v>238</v>
      </c>
    </row>
    <row r="65" spans="1:2" x14ac:dyDescent="0.3">
      <c r="A65" s="24">
        <v>331</v>
      </c>
      <c r="B65" s="16" t="s">
        <v>239</v>
      </c>
    </row>
    <row r="66" spans="1:2" x14ac:dyDescent="0.3">
      <c r="A66" s="24">
        <v>92</v>
      </c>
      <c r="B66" s="25" t="s">
        <v>240</v>
      </c>
    </row>
    <row r="67" spans="1:2" x14ac:dyDescent="0.3">
      <c r="A67" s="24">
        <v>451</v>
      </c>
      <c r="B67" s="25" t="s">
        <v>241</v>
      </c>
    </row>
    <row r="68" spans="1:2" x14ac:dyDescent="0.3">
      <c r="A68" s="24">
        <v>183</v>
      </c>
      <c r="B68" s="25" t="s">
        <v>242</v>
      </c>
    </row>
    <row r="69" spans="1:2" x14ac:dyDescent="0.3">
      <c r="A69" s="24">
        <v>447</v>
      </c>
      <c r="B69" s="25" t="s">
        <v>243</v>
      </c>
    </row>
    <row r="70" spans="1:2" x14ac:dyDescent="0.3">
      <c r="A70" s="24">
        <v>483</v>
      </c>
      <c r="B70" s="25" t="s">
        <v>244</v>
      </c>
    </row>
    <row r="71" spans="1:2" x14ac:dyDescent="0.3">
      <c r="A71" s="24">
        <v>220</v>
      </c>
      <c r="B71" s="25" t="s">
        <v>245</v>
      </c>
    </row>
    <row r="72" spans="1:2" x14ac:dyDescent="0.3">
      <c r="A72" s="24">
        <v>427</v>
      </c>
      <c r="B72" s="25" t="s">
        <v>246</v>
      </c>
    </row>
    <row r="73" spans="1:2" x14ac:dyDescent="0.3">
      <c r="A73" s="24">
        <v>516</v>
      </c>
      <c r="B73" s="25" t="s">
        <v>247</v>
      </c>
    </row>
    <row r="74" spans="1:2" x14ac:dyDescent="0.3">
      <c r="A74" s="24">
        <v>203</v>
      </c>
      <c r="B74" s="25" t="s">
        <v>248</v>
      </c>
    </row>
    <row r="75" spans="1:2" x14ac:dyDescent="0.3">
      <c r="A75" s="24">
        <v>514</v>
      </c>
      <c r="B75" s="16" t="s">
        <v>249</v>
      </c>
    </row>
    <row r="76" spans="1:2" x14ac:dyDescent="0.3">
      <c r="A76" s="24">
        <v>502</v>
      </c>
      <c r="B76" s="25" t="s">
        <v>250</v>
      </c>
    </row>
    <row r="77" spans="1:2" x14ac:dyDescent="0.3">
      <c r="A77" s="20">
        <v>356</v>
      </c>
      <c r="B77" s="16" t="s">
        <v>251</v>
      </c>
    </row>
    <row r="78" spans="1:2" x14ac:dyDescent="0.3">
      <c r="A78" s="24">
        <v>487</v>
      </c>
      <c r="B78" s="25" t="s">
        <v>252</v>
      </c>
    </row>
    <row r="79" spans="1:2" x14ac:dyDescent="0.3">
      <c r="A79" s="24">
        <v>513</v>
      </c>
      <c r="B79" s="25" t="s">
        <v>253</v>
      </c>
    </row>
    <row r="80" spans="1:2" x14ac:dyDescent="0.3">
      <c r="A80" s="24">
        <v>452</v>
      </c>
      <c r="B80" s="25" t="s">
        <v>254</v>
      </c>
    </row>
    <row r="81" spans="1:2" x14ac:dyDescent="0.3">
      <c r="A81" s="24">
        <v>504</v>
      </c>
      <c r="B81" s="16" t="s">
        <v>255</v>
      </c>
    </row>
    <row r="82" spans="1:2" x14ac:dyDescent="0.3">
      <c r="A82" s="24">
        <v>498</v>
      </c>
      <c r="B82" s="25" t="s">
        <v>256</v>
      </c>
    </row>
    <row r="83" spans="1:2" x14ac:dyDescent="0.3">
      <c r="A83" s="24">
        <v>402</v>
      </c>
      <c r="B83" s="16" t="s">
        <v>257</v>
      </c>
    </row>
    <row r="84" spans="1:2" x14ac:dyDescent="0.3">
      <c r="A84" s="24">
        <v>441</v>
      </c>
      <c r="B84" s="2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Hora extra</vt:lpstr>
      <vt:lpstr>Comissão Salao</vt:lpstr>
      <vt:lpstr>Comissão Cozinha</vt:lpstr>
      <vt:lpstr>base</vt:lpstr>
      <vt:lpstr>colaborador</vt:lpstr>
      <vt:lpstr>'Comissão Cozinha'!Print_Area</vt:lpstr>
      <vt:lpstr>'Comissão Salao'!Print_Area</vt:lpstr>
      <vt:lpstr>'Hora extra'!Print_Area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Antonio Valber Lima Santana</cp:lastModifiedBy>
  <cp:lastPrinted>2026-07-02T21:34:58Z</cp:lastPrinted>
  <dcterms:created xsi:type="dcterms:W3CDTF">2018-07-01T23:40:48Z</dcterms:created>
  <dcterms:modified xsi:type="dcterms:W3CDTF">2026-07-23T01:07:25Z</dcterms:modified>
</cp:coreProperties>
</file>