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-120" yWindow="-120" windowWidth="20730" windowHeight="11760"/>
  </bookViews>
  <sheets>
    <sheet name="Hora extra" sheetId="1" r:id="rId1"/>
    <sheet name="Comissão Salao" sheetId="2" r:id="rId2"/>
    <sheet name="Comissão Cozinha" sheetId="3" r:id="rId3"/>
    <sheet name="Ver se estão todos na comissão" sheetId="4" r:id="rId4"/>
    <sheet name="Planilha1" sheetId="5" r:id="rId5"/>
  </sheets>
  <definedNames>
    <definedName name="_xlnm._FilterDatabase" localSheetId="2" hidden="1">'Comissão Cozinha'!$A$5:$I$48</definedName>
    <definedName name="_xlnm._FilterDatabase" localSheetId="1" hidden="1">'Comissão Salao'!$A$5:$H$57</definedName>
    <definedName name="_xlnm._FilterDatabase" localSheetId="0" hidden="1">'Hora extra'!$A$2:$O$100</definedName>
    <definedName name="_xlnm._FilterDatabase" localSheetId="3" hidden="1">'Ver se estão todos na comissão'!$P$3:$AA$77</definedName>
    <definedName name="_xlnm.Print_Area" localSheetId="2">'Comissão Cozinha'!$A$1:$F$51</definedName>
    <definedName name="_xlnm.Print_Area" localSheetId="1">'Comissão Salao'!$A$1:$F$60</definedName>
    <definedName name="_xlnm.Print_Area" localSheetId="0">'Hora extra'!$A$1:$G$85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00" i="1"/>
  <c r="N100"/>
  <c r="M100"/>
  <c r="L100"/>
  <c r="O99"/>
  <c r="N99"/>
  <c r="M99"/>
  <c r="L99"/>
  <c r="O98"/>
  <c r="N98"/>
  <c r="M98"/>
  <c r="L98"/>
  <c r="O97"/>
  <c r="N97"/>
  <c r="M97"/>
  <c r="L97"/>
  <c r="O96"/>
  <c r="N96"/>
  <c r="M96"/>
  <c r="L96"/>
  <c r="O95"/>
  <c r="N95"/>
  <c r="M95"/>
  <c r="L95"/>
  <c r="O94"/>
  <c r="N94"/>
  <c r="M94"/>
  <c r="L94"/>
  <c r="O93"/>
  <c r="N93"/>
  <c r="M93"/>
  <c r="L93"/>
  <c r="O92"/>
  <c r="N92"/>
  <c r="M92"/>
  <c r="L92"/>
  <c r="O91"/>
  <c r="N91"/>
  <c r="M91"/>
  <c r="L91"/>
  <c r="O90"/>
  <c r="N90"/>
  <c r="M90"/>
  <c r="L90"/>
  <c r="O89"/>
  <c r="N89"/>
  <c r="M89"/>
  <c r="L89"/>
  <c r="O88"/>
  <c r="N88"/>
  <c r="M88"/>
  <c r="L88"/>
  <c r="O82"/>
  <c r="N82"/>
  <c r="M82"/>
  <c r="L82"/>
  <c r="O44"/>
  <c r="N44"/>
  <c r="M44"/>
  <c r="L44"/>
  <c r="O84"/>
  <c r="N84"/>
  <c r="M84"/>
  <c r="L84"/>
  <c r="O15"/>
  <c r="N15"/>
  <c r="M15"/>
  <c r="L15"/>
  <c r="O64"/>
  <c r="N64"/>
  <c r="M64"/>
  <c r="L64"/>
  <c r="O40"/>
  <c r="N40"/>
  <c r="M40"/>
  <c r="L40"/>
  <c r="O49"/>
  <c r="N49"/>
  <c r="M49"/>
  <c r="L49"/>
  <c r="O87"/>
  <c r="N87"/>
  <c r="M87"/>
  <c r="L87"/>
  <c r="O86"/>
  <c r="N86"/>
  <c r="M86"/>
  <c r="L86"/>
  <c r="O16"/>
  <c r="N16"/>
  <c r="M16"/>
  <c r="L16"/>
  <c r="O55"/>
  <c r="N55"/>
  <c r="M55"/>
  <c r="L55"/>
  <c r="O62"/>
  <c r="N62"/>
  <c r="M62"/>
  <c r="L62"/>
  <c r="O61"/>
  <c r="N61"/>
  <c r="M61"/>
  <c r="L61"/>
  <c r="O26"/>
  <c r="N26"/>
  <c r="M26"/>
  <c r="L26"/>
  <c r="O85"/>
  <c r="N85"/>
  <c r="M85"/>
  <c r="L85"/>
  <c r="O83"/>
  <c r="N83"/>
  <c r="M83"/>
  <c r="L83"/>
  <c r="O81"/>
  <c r="N81"/>
  <c r="M81"/>
  <c r="L81"/>
  <c r="O80"/>
  <c r="N80"/>
  <c r="M80"/>
  <c r="L80"/>
  <c r="O79"/>
  <c r="N79"/>
  <c r="M79"/>
  <c r="L79"/>
  <c r="O78"/>
  <c r="N78"/>
  <c r="M78"/>
  <c r="L78"/>
  <c r="O77"/>
  <c r="N77"/>
  <c r="M77"/>
  <c r="L77"/>
  <c r="O76"/>
  <c r="N76"/>
  <c r="M76"/>
  <c r="L76"/>
  <c r="O75"/>
  <c r="N75"/>
  <c r="M75"/>
  <c r="L75"/>
  <c r="O74"/>
  <c r="N74"/>
  <c r="M74"/>
  <c r="L74"/>
  <c r="O73"/>
  <c r="N73"/>
  <c r="M73"/>
  <c r="L73"/>
  <c r="O72"/>
  <c r="N72"/>
  <c r="M72"/>
  <c r="L72"/>
  <c r="O71"/>
  <c r="N71"/>
  <c r="M71"/>
  <c r="L71"/>
  <c r="O70"/>
  <c r="N70"/>
  <c r="M70"/>
  <c r="L70"/>
  <c r="O69"/>
  <c r="N69"/>
  <c r="M69"/>
  <c r="L69"/>
  <c r="O68"/>
  <c r="N68"/>
  <c r="M68"/>
  <c r="L68"/>
  <c r="O67"/>
  <c r="N67"/>
  <c r="M67"/>
  <c r="L67"/>
  <c r="O66"/>
  <c r="N66"/>
  <c r="M66"/>
  <c r="L66"/>
  <c r="M2" i="5"/>
  <c r="L3" i="1"/>
  <c r="N4" i="4"/>
  <c r="O84" l="1"/>
  <c r="O83"/>
  <c r="O82"/>
  <c r="O81"/>
  <c r="O80"/>
  <c r="O79"/>
  <c r="O78"/>
  <c r="O77"/>
  <c r="O76"/>
  <c r="O75"/>
  <c r="O74"/>
  <c r="O73"/>
  <c r="O72"/>
  <c r="O71"/>
  <c r="O70"/>
  <c r="O69"/>
  <c r="O68"/>
  <c r="O67"/>
  <c r="O66"/>
  <c r="O65"/>
  <c r="O64"/>
  <c r="O63"/>
  <c r="O62"/>
  <c r="O61"/>
  <c r="O60"/>
  <c r="O59"/>
  <c r="O58"/>
  <c r="O57"/>
  <c r="O56"/>
  <c r="O55"/>
  <c r="O54"/>
  <c r="O53"/>
  <c r="O52"/>
  <c r="O51"/>
  <c r="O50"/>
  <c r="O49"/>
  <c r="O48"/>
  <c r="O47"/>
  <c r="O46"/>
  <c r="O45"/>
  <c r="O44"/>
  <c r="O43"/>
  <c r="O42"/>
  <c r="O41"/>
  <c r="O40"/>
  <c r="O39"/>
  <c r="O38"/>
  <c r="O37"/>
  <c r="O36"/>
  <c r="O35"/>
  <c r="O34"/>
  <c r="O33"/>
  <c r="O32"/>
  <c r="O31"/>
  <c r="O30"/>
  <c r="O29"/>
  <c r="O28"/>
  <c r="O27"/>
  <c r="O26"/>
  <c r="O25"/>
  <c r="O24"/>
  <c r="O23"/>
  <c r="O22"/>
  <c r="O21"/>
  <c r="O20"/>
  <c r="O19"/>
  <c r="O18"/>
  <c r="O17"/>
  <c r="O16"/>
  <c r="O15"/>
  <c r="O14"/>
  <c r="O13"/>
  <c r="O12"/>
  <c r="O11"/>
  <c r="O10"/>
  <c r="O9"/>
  <c r="O8"/>
  <c r="O7"/>
  <c r="O6"/>
  <c r="O5"/>
  <c r="O4"/>
  <c r="K5"/>
  <c r="K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38"/>
  <c r="K39"/>
  <c r="K40"/>
  <c r="K41"/>
  <c r="K42"/>
  <c r="K43"/>
  <c r="K44"/>
  <c r="K45"/>
  <c r="K46"/>
  <c r="K47"/>
  <c r="K48"/>
  <c r="K49"/>
  <c r="K50"/>
  <c r="K51"/>
  <c r="K52"/>
  <c r="K53"/>
  <c r="K54"/>
  <c r="K55"/>
  <c r="K56"/>
  <c r="K57"/>
  <c r="K58"/>
  <c r="K59"/>
  <c r="K60"/>
  <c r="K61"/>
  <c r="K62"/>
  <c r="K63"/>
  <c r="K64"/>
  <c r="K65"/>
  <c r="K66"/>
  <c r="K67"/>
  <c r="K68"/>
  <c r="K69"/>
  <c r="K70"/>
  <c r="K71"/>
  <c r="K72"/>
  <c r="K73"/>
  <c r="K74"/>
  <c r="K75"/>
  <c r="K76"/>
  <c r="K77"/>
  <c r="K78"/>
  <c r="K79"/>
  <c r="K80"/>
  <c r="K81"/>
  <c r="K82"/>
  <c r="K83"/>
  <c r="K84"/>
  <c r="K85"/>
  <c r="K86"/>
  <c r="K4"/>
  <c r="D83"/>
  <c r="D82"/>
  <c r="D81"/>
  <c r="D80"/>
  <c r="D79"/>
  <c r="D78"/>
  <c r="D77"/>
  <c r="D76"/>
  <c r="D75"/>
  <c r="D74"/>
  <c r="D73"/>
  <c r="D72"/>
  <c r="D71"/>
  <c r="D70"/>
  <c r="D69"/>
  <c r="D68"/>
  <c r="D67"/>
  <c r="D66"/>
  <c r="D65"/>
  <c r="D64"/>
  <c r="D63"/>
  <c r="D62"/>
  <c r="D61"/>
  <c r="D60"/>
  <c r="D59"/>
  <c r="D58"/>
  <c r="D57"/>
  <c r="D56"/>
  <c r="D55"/>
  <c r="D54"/>
  <c r="D53"/>
  <c r="D52"/>
  <c r="D51"/>
  <c r="D50"/>
  <c r="D49"/>
  <c r="D48"/>
  <c r="D47"/>
  <c r="D46"/>
  <c r="D45"/>
  <c r="D44"/>
  <c r="D43"/>
  <c r="D42"/>
  <c r="D41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D4"/>
  <c r="L65" i="1" l="1"/>
  <c r="M65"/>
  <c r="N65"/>
  <c r="O65"/>
  <c r="E77" i="4" l="1"/>
  <c r="E78"/>
  <c r="E79"/>
  <c r="E80"/>
  <c r="E81"/>
  <c r="E82"/>
  <c r="E83"/>
  <c r="N78"/>
  <c r="N79"/>
  <c r="N80"/>
  <c r="N81"/>
  <c r="N82"/>
  <c r="N83"/>
  <c r="N84"/>
  <c r="L12" i="1" l="1"/>
  <c r="M12"/>
  <c r="N12"/>
  <c r="O12"/>
  <c r="L46"/>
  <c r="M46"/>
  <c r="N46"/>
  <c r="O46"/>
  <c r="L35"/>
  <c r="M35"/>
  <c r="N35"/>
  <c r="O35"/>
  <c r="L18"/>
  <c r="M18"/>
  <c r="N18"/>
  <c r="O18"/>
  <c r="L19"/>
  <c r="M19"/>
  <c r="N19"/>
  <c r="O19"/>
  <c r="L51"/>
  <c r="M51"/>
  <c r="N51"/>
  <c r="O51"/>
  <c r="L50"/>
  <c r="M50"/>
  <c r="N50"/>
  <c r="O50"/>
  <c r="L41"/>
  <c r="M41"/>
  <c r="N41"/>
  <c r="O41"/>
  <c r="L11"/>
  <c r="M11"/>
  <c r="N11"/>
  <c r="O11"/>
  <c r="L53"/>
  <c r="M53"/>
  <c r="N53"/>
  <c r="O53"/>
  <c r="L57"/>
  <c r="M57"/>
  <c r="N57"/>
  <c r="O57"/>
  <c r="L10"/>
  <c r="M10"/>
  <c r="N10"/>
  <c r="O10"/>
  <c r="L36"/>
  <c r="M36"/>
  <c r="N36"/>
  <c r="O36"/>
  <c r="L47"/>
  <c r="M47"/>
  <c r="N47"/>
  <c r="O47"/>
  <c r="L39"/>
  <c r="M39"/>
  <c r="N39"/>
  <c r="O39"/>
  <c r="L29"/>
  <c r="M29"/>
  <c r="N29"/>
  <c r="O29"/>
  <c r="L63"/>
  <c r="M63"/>
  <c r="N63"/>
  <c r="O63"/>
  <c r="L59"/>
  <c r="M59"/>
  <c r="N59"/>
  <c r="O59"/>
  <c r="L34"/>
  <c r="M34"/>
  <c r="N34"/>
  <c r="O34"/>
  <c r="L52"/>
  <c r="M52"/>
  <c r="N52"/>
  <c r="O52"/>
  <c r="L31"/>
  <c r="M31"/>
  <c r="N31"/>
  <c r="O31"/>
  <c r="L25"/>
  <c r="M25"/>
  <c r="N25"/>
  <c r="O25"/>
  <c r="L54"/>
  <c r="M54"/>
  <c r="N54"/>
  <c r="O54"/>
  <c r="L33"/>
  <c r="M33"/>
  <c r="N33"/>
  <c r="O33"/>
  <c r="L37"/>
  <c r="M37"/>
  <c r="N37"/>
  <c r="O37"/>
  <c r="L38"/>
  <c r="M38"/>
  <c r="N38"/>
  <c r="O38"/>
  <c r="L56"/>
  <c r="M56"/>
  <c r="N56"/>
  <c r="O56"/>
  <c r="L48"/>
  <c r="M48"/>
  <c r="N48"/>
  <c r="O48"/>
  <c r="L7"/>
  <c r="M7"/>
  <c r="N7"/>
  <c r="O7"/>
  <c r="L8"/>
  <c r="M8"/>
  <c r="N8"/>
  <c r="O8"/>
  <c r="L32"/>
  <c r="M32"/>
  <c r="N32"/>
  <c r="O32"/>
  <c r="L9"/>
  <c r="M9"/>
  <c r="N9"/>
  <c r="O9"/>
  <c r="L6"/>
  <c r="M6"/>
  <c r="N6"/>
  <c r="O6"/>
  <c r="L43"/>
  <c r="M43"/>
  <c r="N43"/>
  <c r="O43"/>
  <c r="L23"/>
  <c r="M23"/>
  <c r="N23"/>
  <c r="O23"/>
  <c r="L21"/>
  <c r="M21"/>
  <c r="N21"/>
  <c r="O21"/>
  <c r="L27"/>
  <c r="M27"/>
  <c r="N27"/>
  <c r="O27"/>
  <c r="M3"/>
  <c r="N3"/>
  <c r="O3"/>
  <c r="L58"/>
  <c r="M58"/>
  <c r="N58"/>
  <c r="O58"/>
  <c r="L13"/>
  <c r="M13"/>
  <c r="N13"/>
  <c r="O13"/>
  <c r="L30"/>
  <c r="M30"/>
  <c r="N30"/>
  <c r="O30"/>
  <c r="L24"/>
  <c r="M24"/>
  <c r="N24"/>
  <c r="O24"/>
  <c r="L20"/>
  <c r="M20"/>
  <c r="N20"/>
  <c r="O20"/>
  <c r="L4"/>
  <c r="M4"/>
  <c r="N4"/>
  <c r="O4"/>
  <c r="L22"/>
  <c r="M22"/>
  <c r="N22"/>
  <c r="O22"/>
  <c r="L45"/>
  <c r="M45"/>
  <c r="N45"/>
  <c r="O45"/>
  <c r="L42"/>
  <c r="M42"/>
  <c r="N42"/>
  <c r="O42"/>
  <c r="L5"/>
  <c r="M5"/>
  <c r="N5"/>
  <c r="O5"/>
  <c r="L17"/>
  <c r="M17"/>
  <c r="N17"/>
  <c r="O17"/>
  <c r="L14"/>
  <c r="M14"/>
  <c r="N14"/>
  <c r="O14"/>
  <c r="L60"/>
  <c r="M60"/>
  <c r="N60"/>
  <c r="O60"/>
  <c r="L28"/>
  <c r="M28"/>
  <c r="N28"/>
  <c r="O28"/>
  <c r="L1" l="1"/>
  <c r="N1"/>
  <c r="O1"/>
  <c r="M1"/>
  <c r="N5" i="4"/>
  <c r="N6"/>
  <c r="N7"/>
  <c r="N8"/>
  <c r="N9"/>
  <c r="N10"/>
  <c r="N11"/>
  <c r="N12"/>
  <c r="N13"/>
  <c r="N14"/>
  <c r="N15"/>
  <c r="N16"/>
  <c r="N17"/>
  <c r="N18"/>
  <c r="N19"/>
  <c r="N20"/>
  <c r="N21"/>
  <c r="N22"/>
  <c r="N23"/>
  <c r="N24"/>
  <c r="N25"/>
  <c r="N26"/>
  <c r="N27"/>
  <c r="N28"/>
  <c r="N29"/>
  <c r="N30"/>
  <c r="N31"/>
  <c r="N32"/>
  <c r="N33"/>
  <c r="N34"/>
  <c r="N35"/>
  <c r="N36"/>
  <c r="N37"/>
  <c r="N38"/>
  <c r="N39"/>
  <c r="N40"/>
  <c r="N41"/>
  <c r="N42"/>
  <c r="N43"/>
  <c r="N44"/>
  <c r="N45"/>
  <c r="N46"/>
  <c r="N47"/>
  <c r="N48"/>
  <c r="N49"/>
  <c r="N50"/>
  <c r="N51"/>
  <c r="N52"/>
  <c r="N53"/>
  <c r="N54"/>
  <c r="N55"/>
  <c r="N56"/>
  <c r="N57"/>
  <c r="N58"/>
  <c r="N59"/>
  <c r="N60"/>
  <c r="N61"/>
  <c r="N62"/>
  <c r="N63"/>
  <c r="N64"/>
  <c r="N65"/>
  <c r="N66"/>
  <c r="N67"/>
  <c r="N68"/>
  <c r="N69"/>
  <c r="N70"/>
  <c r="N71"/>
  <c r="N72"/>
  <c r="N73"/>
  <c r="N74"/>
  <c r="N75"/>
  <c r="N76"/>
  <c r="N77"/>
  <c r="E76"/>
  <c r="E75"/>
  <c r="E74"/>
  <c r="E73"/>
  <c r="E72"/>
  <c r="E71"/>
  <c r="E70"/>
  <c r="E69"/>
  <c r="E68"/>
  <c r="E67"/>
  <c r="E66"/>
  <c r="E65"/>
  <c r="E64"/>
  <c r="E63"/>
  <c r="E62"/>
  <c r="E61"/>
  <c r="E60"/>
  <c r="E59"/>
  <c r="E58"/>
  <c r="E57"/>
  <c r="E56"/>
  <c r="E55"/>
  <c r="E54"/>
  <c r="E53"/>
  <c r="E52"/>
  <c r="E51"/>
  <c r="E50"/>
  <c r="E49"/>
  <c r="E48"/>
  <c r="E47"/>
  <c r="E46"/>
  <c r="E45"/>
  <c r="E44"/>
  <c r="E43"/>
  <c r="E42"/>
  <c r="E41"/>
  <c r="E40"/>
  <c r="E39"/>
  <c r="E38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E9"/>
  <c r="E8"/>
  <c r="E7"/>
  <c r="E6"/>
  <c r="E5"/>
  <c r="E4"/>
  <c r="C3" i="3" l="1"/>
</calcChain>
</file>

<file path=xl/sharedStrings.xml><?xml version="1.0" encoding="utf-8"?>
<sst xmlns="http://schemas.openxmlformats.org/spreadsheetml/2006/main" count="1721" uniqueCount="405">
  <si>
    <t xml:space="preserve"> REPASSE DO SERVIÇO PAGO PELO CLIENTE COZINHA</t>
  </si>
  <si>
    <t xml:space="preserve">                    DO PERÍODO  DE </t>
  </si>
  <si>
    <t>NUM. FUNC</t>
  </si>
  <si>
    <t>NOME/FUNÇÃO</t>
  </si>
  <si>
    <t>FUNÇÃO</t>
  </si>
  <si>
    <t>REG</t>
  </si>
  <si>
    <t>VALOR  A  PAGAR</t>
  </si>
  <si>
    <t xml:space="preserve"> REPASSE DO SERVIÇO PAGO PELO CLIENTE SALÃO</t>
  </si>
  <si>
    <t>Vales a descontar</t>
  </si>
  <si>
    <t>Codigo</t>
  </si>
  <si>
    <t>Nome</t>
  </si>
  <si>
    <t>HORAS  EXTRA NORMAL</t>
  </si>
  <si>
    <t>HORA EXTRA COM ADICIONAL NOTURNO</t>
  </si>
  <si>
    <t>SÓ ADICIONAL NOTURNO</t>
  </si>
  <si>
    <t>FERIADO</t>
  </si>
  <si>
    <t>tem na comissão</t>
  </si>
  <si>
    <t>DA  HORA EXTRA</t>
  </si>
  <si>
    <t>DA COMISSÃO</t>
  </si>
  <si>
    <t>DO CADASTRO</t>
  </si>
  <si>
    <t>TEM NO CADASTR0</t>
  </si>
  <si>
    <t>Num</t>
  </si>
  <si>
    <t>Chapa</t>
  </si>
  <si>
    <t>Função</t>
  </si>
  <si>
    <t>Local Trabalho</t>
  </si>
  <si>
    <t>Adriano Alves</t>
  </si>
  <si>
    <t>Agrecio Benedito cunha</t>
  </si>
  <si>
    <t>Andrelina Matos dos Santos</t>
  </si>
  <si>
    <t>Ver</t>
  </si>
  <si>
    <t>Bruno Viana Correa</t>
  </si>
  <si>
    <t>Cicero Rocha</t>
  </si>
  <si>
    <t>Crispim dos Santos Nascimento</t>
  </si>
  <si>
    <t>Edson Jose do nascimento</t>
  </si>
  <si>
    <t>Emerson Gouveia dos Santos</t>
  </si>
  <si>
    <t>Gilberto de Jesus R. Santos</t>
  </si>
  <si>
    <t>Iraci Pinheiro</t>
  </si>
  <si>
    <t>Ismael Pereira silva</t>
  </si>
  <si>
    <t>Jadson Magno Gomes  Sa</t>
  </si>
  <si>
    <t>Luis Gonçalves Silva</t>
  </si>
  <si>
    <t>Marianne Lima</t>
  </si>
  <si>
    <t>Raimundo Nonato Frazão Ferreira</t>
  </si>
  <si>
    <t>Reginaldo Junior Gonçalves  Silva</t>
  </si>
  <si>
    <t>Salomão Lopes Torres</t>
  </si>
  <si>
    <t>Sildivan Moreira de Carvalho</t>
  </si>
  <si>
    <t>Wilderson Goncalves de Sousa</t>
  </si>
  <si>
    <t>Leandro Sousa Lopes</t>
  </si>
  <si>
    <t>Paulo Figueredo Viana</t>
  </si>
  <si>
    <t>Lazaro Pinheiro Junior</t>
  </si>
  <si>
    <t xml:space="preserve">Clarissa Costa </t>
  </si>
  <si>
    <t>Gerente</t>
  </si>
  <si>
    <t>Chef</t>
  </si>
  <si>
    <t>Caixa</t>
  </si>
  <si>
    <t>Cozin4</t>
  </si>
  <si>
    <t>Churras2</t>
  </si>
  <si>
    <t>ComprasAux</t>
  </si>
  <si>
    <t>AuxServ1</t>
  </si>
  <si>
    <t>AuxServ2</t>
  </si>
  <si>
    <t>Garçon2</t>
  </si>
  <si>
    <t>Francinildo Viana Silva</t>
  </si>
  <si>
    <t>Cozin1</t>
  </si>
  <si>
    <t>Mateus Alves Cardoso</t>
  </si>
  <si>
    <t>Denilson Oliveira Moreira</t>
  </si>
  <si>
    <t>Hernandes Vieira de Oliveira</t>
  </si>
  <si>
    <t>Gledson Macena Barbosa</t>
  </si>
  <si>
    <t>Saiu</t>
  </si>
  <si>
    <t>Férias</t>
  </si>
  <si>
    <t>Cumin3</t>
  </si>
  <si>
    <t>Fabio Gouveia dos santos</t>
  </si>
  <si>
    <t>Cumin1.1</t>
  </si>
  <si>
    <t>Pontuação Basica</t>
  </si>
  <si>
    <t>Codigo Pagador/Receb</t>
  </si>
  <si>
    <t>Cad Ger</t>
  </si>
  <si>
    <t>Salário Atual</t>
  </si>
  <si>
    <t>Dta Inicio Trabalho</t>
  </si>
  <si>
    <t>Dta Saida</t>
  </si>
  <si>
    <t>Data Registo</t>
  </si>
  <si>
    <t>Maria Bertila Gouveia dos Santos</t>
  </si>
  <si>
    <t>Entrada</t>
  </si>
  <si>
    <t>Marcos Cesar Costa</t>
  </si>
  <si>
    <t>Railson Pinheiro Soaras</t>
  </si>
  <si>
    <t>José Daniel da Silva</t>
  </si>
  <si>
    <t>Diogo catanhede Coqueiro</t>
  </si>
  <si>
    <t>Churras1</t>
  </si>
  <si>
    <t>Tiago dos Santos Torres</t>
  </si>
  <si>
    <t>Cumin2</t>
  </si>
  <si>
    <t>Churras3</t>
  </si>
  <si>
    <t>Anselmo Martins</t>
  </si>
  <si>
    <t>BarMenAux2</t>
  </si>
  <si>
    <t>Maria Erica de Sousa Lima</t>
  </si>
  <si>
    <t>Adriane Rodrigues da Silva</t>
  </si>
  <si>
    <t>Jhonny Moraes Salazar</t>
  </si>
  <si>
    <t>Gabriel Lima Martins dos Santos</t>
  </si>
  <si>
    <t>Cozin5</t>
  </si>
  <si>
    <t>Carlos Edmar Silva santos</t>
  </si>
  <si>
    <t>Cumin1</t>
  </si>
  <si>
    <t>Antonio Gleison Vieira da Silva</t>
  </si>
  <si>
    <t>Matheus Sousa Goncalves</t>
  </si>
  <si>
    <t>Concinalva Derreira Costa</t>
  </si>
  <si>
    <t>Cumin0</t>
  </si>
  <si>
    <t>AuxCoz2.1</t>
  </si>
  <si>
    <t>Cozin6</t>
  </si>
  <si>
    <t>Lucas Negreiros de Moraes</t>
  </si>
  <si>
    <t>Cledes martins de Sousa</t>
  </si>
  <si>
    <t>AuxCoz4</t>
  </si>
  <si>
    <t>Wellington Rodrigues Cruz</t>
  </si>
  <si>
    <t>Chapeiro2.1</t>
  </si>
  <si>
    <t>Lucas de Araujo Silva</t>
  </si>
  <si>
    <t>Luis Fernando da Silva dos santos</t>
  </si>
  <si>
    <t>Hernandes Gouveia Silva</t>
  </si>
  <si>
    <t>Pablo Rodrigo Sousa</t>
  </si>
  <si>
    <t>Samuel Marnho  do Nascimento</t>
  </si>
  <si>
    <t>Adriano Sousa Pereira</t>
  </si>
  <si>
    <t>BarMenAux</t>
  </si>
  <si>
    <t>Lismarque de Jesus França Pinheiro</t>
  </si>
  <si>
    <t>Garçon3.1</t>
  </si>
  <si>
    <t>Wellingson Santos Barroso</t>
  </si>
  <si>
    <t>Zacarias Rodrigues Saraiva</t>
  </si>
  <si>
    <t>Tiago Silva Frazao</t>
  </si>
  <si>
    <t>Cumin0.1</t>
  </si>
  <si>
    <t>ChefSub 3</t>
  </si>
  <si>
    <t>Danielle Cristine Dias Pinheiro</t>
  </si>
  <si>
    <t>Heloisa Andre de Sousa Coimbra</t>
  </si>
  <si>
    <t>Rodrigo Martins</t>
  </si>
  <si>
    <t>Garçon3</t>
  </si>
  <si>
    <t/>
  </si>
  <si>
    <t>GARÇONS</t>
  </si>
  <si>
    <t>CUMINS</t>
  </si>
  <si>
    <t>BAR MEN Sr/Jr</t>
  </si>
  <si>
    <t>GERENTE/MAITRE/CHEFE</t>
  </si>
  <si>
    <t>CAIXA</t>
  </si>
  <si>
    <t>CHURRASQUEIRO</t>
  </si>
  <si>
    <t>COZINHA</t>
  </si>
  <si>
    <t>AUXILIAR DE SERVIÇO</t>
  </si>
  <si>
    <t>CHEFF</t>
  </si>
  <si>
    <t>Maitre1</t>
  </si>
  <si>
    <t>Cumin2.1</t>
  </si>
  <si>
    <t>Carmen da Rocha Silva</t>
  </si>
  <si>
    <t>AuxCoz3</t>
  </si>
  <si>
    <t>Raycleison Bezerra Santos</t>
  </si>
  <si>
    <t>Vanilson Pintos da Silva</t>
  </si>
  <si>
    <t>Benilton Goveia dos santos</t>
  </si>
  <si>
    <t>Luis carlos Rocha cardoso</t>
  </si>
  <si>
    <t>Claudeci do Vale Reis</t>
  </si>
  <si>
    <t>Davi da Silva Correia</t>
  </si>
  <si>
    <t>Brayan Jhefferson Silveira</t>
  </si>
  <si>
    <t>Lucas Wytallo Santos</t>
  </si>
  <si>
    <t>Ana Carolina Soares</t>
  </si>
  <si>
    <t>Chapeiro2</t>
  </si>
  <si>
    <t>Recep</t>
  </si>
  <si>
    <t>Raiane Bezerra santos</t>
  </si>
  <si>
    <t>Monique Costa Campelo</t>
  </si>
  <si>
    <t>Maitre1.1</t>
  </si>
  <si>
    <t>Maitre2</t>
  </si>
  <si>
    <t>Pontos</t>
  </si>
  <si>
    <t>BarMen</t>
  </si>
  <si>
    <t>Caixa Sr</t>
  </si>
  <si>
    <t>Silma Maria Mendes  Furtado</t>
  </si>
  <si>
    <t>0hs 0min</t>
  </si>
  <si>
    <t>registro</t>
  </si>
  <si>
    <t>João Bezerra Junior</t>
  </si>
  <si>
    <t>Geanderson Augusto dos Santos santos</t>
  </si>
  <si>
    <t>Dayvisson George Sousa Ribeiro</t>
  </si>
  <si>
    <t>Ary Cesat Costa Duarte</t>
  </si>
  <si>
    <t>Moises marinho do Nascimento</t>
  </si>
  <si>
    <t>Jessica Andreia Moraes da Costa</t>
  </si>
  <si>
    <t>ChefSub 1</t>
  </si>
  <si>
    <t>Dannyel de Carvalho Ribeiro</t>
  </si>
  <si>
    <t>Flavia Luciana Sousa Alves</t>
  </si>
  <si>
    <t>Ronald Oliveira Pires</t>
  </si>
  <si>
    <t>Jeferson do Nascimento Silva</t>
  </si>
  <si>
    <t>salao</t>
  </si>
  <si>
    <t>Cicero</t>
  </si>
  <si>
    <t>s</t>
  </si>
  <si>
    <t>N</t>
  </si>
  <si>
    <t>Part 7% + Estacion</t>
  </si>
  <si>
    <t>Crispim</t>
  </si>
  <si>
    <t>cozinha</t>
  </si>
  <si>
    <t>Paulo</t>
  </si>
  <si>
    <t>Part 1,5% +1000 aluguel</t>
  </si>
  <si>
    <t>Bruno</t>
  </si>
  <si>
    <t>Compr</t>
  </si>
  <si>
    <t>compra</t>
  </si>
  <si>
    <t>Jadson</t>
  </si>
  <si>
    <t>Gilberto</t>
  </si>
  <si>
    <t>S</t>
  </si>
  <si>
    <t>RaimundoNonatoF</t>
  </si>
  <si>
    <t>Admin</t>
  </si>
  <si>
    <t>admin</t>
  </si>
  <si>
    <t>Emerson</t>
  </si>
  <si>
    <t>AdminAuxil</t>
  </si>
  <si>
    <t>Iraci</t>
  </si>
  <si>
    <t>Salar + 120/sem transp</t>
  </si>
  <si>
    <t>Edson Jose</t>
  </si>
  <si>
    <t>Ajuda 300</t>
  </si>
  <si>
    <t>ReginaldoJr</t>
  </si>
  <si>
    <t>AndrelinaMatos</t>
  </si>
  <si>
    <t>Luiz Goncalves</t>
  </si>
  <si>
    <t>Ismael</t>
  </si>
  <si>
    <t>Adriano</t>
  </si>
  <si>
    <t xml:space="preserve"> Min 1600</t>
  </si>
  <si>
    <t>Sildvan</t>
  </si>
  <si>
    <t>SalomaoLopes</t>
  </si>
  <si>
    <t>LeandroLopes</t>
  </si>
  <si>
    <t>FrancinildoViana</t>
  </si>
  <si>
    <t>PauloViana</t>
  </si>
  <si>
    <t>LazaroPinheiro</t>
  </si>
  <si>
    <t>ClarissaCosta</t>
  </si>
  <si>
    <t>DenilsonMoreira</t>
  </si>
  <si>
    <t>MateusCardoso</t>
  </si>
  <si>
    <t>acerto 2500</t>
  </si>
  <si>
    <t>GledsonBarbosa</t>
  </si>
  <si>
    <t>FabioGouveia</t>
  </si>
  <si>
    <t>Hernandesoliviera</t>
  </si>
  <si>
    <t>MariaBertila</t>
  </si>
  <si>
    <t>MarcosCesar</t>
  </si>
  <si>
    <t>Railson</t>
  </si>
  <si>
    <t>JoseDaniel</t>
  </si>
  <si>
    <t>DiogoCatanhede</t>
  </si>
  <si>
    <t>TiagoTorres</t>
  </si>
  <si>
    <t>MariaErica</t>
  </si>
  <si>
    <t>AdrianeRodrigues</t>
  </si>
  <si>
    <t>acertado sal 2800</t>
  </si>
  <si>
    <t>acertado 2800</t>
  </si>
  <si>
    <t>JhonnyMoraes</t>
  </si>
  <si>
    <t>acertado min 2000 bruto</t>
  </si>
  <si>
    <t>AntonioGleison</t>
  </si>
  <si>
    <t>GabrielLima</t>
  </si>
  <si>
    <t>acertado 2600</t>
  </si>
  <si>
    <t>LucasNegreiros</t>
  </si>
  <si>
    <t>CledesMartins</t>
  </si>
  <si>
    <t>Aux mat acertado 2000</t>
  </si>
  <si>
    <t>WellingtonCruz</t>
  </si>
  <si>
    <t>LuisFernando</t>
  </si>
  <si>
    <t>HernandesGouveia</t>
  </si>
  <si>
    <t>SamuelMarinho</t>
  </si>
  <si>
    <t>AdrianoSousa</t>
  </si>
  <si>
    <t>LismarquePinheiro</t>
  </si>
  <si>
    <t>TiagoFrazão</t>
  </si>
  <si>
    <t>WildersonSousa</t>
  </si>
  <si>
    <t>DanielleCristine</t>
  </si>
  <si>
    <t>acertado 2.000</t>
  </si>
  <si>
    <t>HeloisaCoimbra</t>
  </si>
  <si>
    <t>salario da categoria 30 dias 2ºmês dar comissão</t>
  </si>
  <si>
    <t>RodrigoMartins</t>
  </si>
  <si>
    <t>CarmenSilva</t>
  </si>
  <si>
    <t>RaycleisonSantos</t>
  </si>
  <si>
    <t>VanilsonSilva</t>
  </si>
  <si>
    <t>BeniltonSantos</t>
  </si>
  <si>
    <t>ClaudeciReis</t>
  </si>
  <si>
    <t>ACERTADO 2000</t>
  </si>
  <si>
    <t>BrayanSilveira</t>
  </si>
  <si>
    <t>LucasSantos</t>
  </si>
  <si>
    <t>AnaSoares</t>
  </si>
  <si>
    <t>RaianeSantos</t>
  </si>
  <si>
    <t>SilmaMendes</t>
  </si>
  <si>
    <t>João Bezerra</t>
  </si>
  <si>
    <t>acertado 6.000+ aluguel 1200</t>
  </si>
  <si>
    <t>GeandersonSantos</t>
  </si>
  <si>
    <t>DayvissonRibeiro</t>
  </si>
  <si>
    <t>AryDuarte</t>
  </si>
  <si>
    <t>MoisesNascimento</t>
  </si>
  <si>
    <t>CarlosEdmar</t>
  </si>
  <si>
    <t>JessicaCosta</t>
  </si>
  <si>
    <t>DannyelRibeiro</t>
  </si>
  <si>
    <t>FlaviaAlves</t>
  </si>
  <si>
    <t>RonaldPires</t>
  </si>
  <si>
    <t>JefersonSilva</t>
  </si>
  <si>
    <t>VER</t>
  </si>
  <si>
    <t>tem na comissão e tem na hora extra</t>
  </si>
  <si>
    <t>tem no cadastro e tem na hora extra</t>
  </si>
  <si>
    <t>tem no cadastro e tem na comissão</t>
  </si>
  <si>
    <t>Hebert Jose dos Santos</t>
  </si>
  <si>
    <t>Ulisses Gabriel Alves Santana</t>
  </si>
  <si>
    <t>Adriano Cantanhede Vieira</t>
  </si>
  <si>
    <t>CUMIN</t>
  </si>
  <si>
    <t>15hs 20min</t>
  </si>
  <si>
    <t>10hs 22min</t>
  </si>
  <si>
    <t>Danielle Cristine Silva Diniz</t>
  </si>
  <si>
    <t>João Batista Pereiro Santos</t>
  </si>
  <si>
    <t>6hs 3min</t>
  </si>
  <si>
    <t>Thaison Gomes Brito</t>
  </si>
  <si>
    <t>6hs 2min</t>
  </si>
  <si>
    <t>Victor Manoel da SilvA da Conceição</t>
  </si>
  <si>
    <t>Eliana Souza Pires</t>
  </si>
  <si>
    <t>Itanilson Melo Fonseca</t>
  </si>
  <si>
    <t>VER FÉRIAS  E SAIDAS</t>
  </si>
  <si>
    <t>Churras3.1</t>
  </si>
  <si>
    <t xml:space="preserve">VER  QUEM  ESTA DE FÉRIAS  OU  SAIU </t>
  </si>
  <si>
    <t>6hs 4min</t>
  </si>
  <si>
    <t>6hs 5min</t>
  </si>
  <si>
    <t>6hs 1min</t>
  </si>
  <si>
    <t>20hs 33min</t>
  </si>
  <si>
    <t>6hs 6min</t>
  </si>
  <si>
    <t>11hs 13min</t>
  </si>
  <si>
    <t>FÉRIAS</t>
  </si>
  <si>
    <t>7hs 0min</t>
  </si>
  <si>
    <t>20hs 25min</t>
  </si>
  <si>
    <t>16hs 13min</t>
  </si>
  <si>
    <t>18hs 20min</t>
  </si>
  <si>
    <t>12hs 30min</t>
  </si>
  <si>
    <t>Janaina Chagas Coelho</t>
  </si>
  <si>
    <t>Helison Vinicius Frazão Bezerra</t>
  </si>
  <si>
    <t>Valdenilson Sousa dos Santos</t>
  </si>
  <si>
    <t>Tainy Mendonça Rodrigues</t>
  </si>
  <si>
    <t>Hildon Gusmão Cantanhede</t>
  </si>
  <si>
    <t>Sergiana Costa dos Santos</t>
  </si>
  <si>
    <t>férias</t>
  </si>
  <si>
    <t>11hs 58min</t>
  </si>
  <si>
    <t>5hs 5min</t>
  </si>
  <si>
    <t>18hs 40min</t>
  </si>
  <si>
    <t>12hs 39min</t>
  </si>
  <si>
    <t>8hs 5min</t>
  </si>
  <si>
    <t>24hs 57min</t>
  </si>
  <si>
    <t>6hs 31min</t>
  </si>
  <si>
    <t>1hs 30min</t>
  </si>
  <si>
    <t>14hs 20min</t>
  </si>
  <si>
    <t>14hs 47min</t>
  </si>
  <si>
    <t>16hs 15min</t>
  </si>
  <si>
    <t>19hs 27min</t>
  </si>
  <si>
    <t>16hs 7min</t>
  </si>
  <si>
    <t>26hs 19min</t>
  </si>
  <si>
    <t>29hs 32min</t>
  </si>
  <si>
    <t>13hs 14min</t>
  </si>
  <si>
    <t>31hs 14min</t>
  </si>
  <si>
    <t>3hs 45min</t>
  </si>
  <si>
    <t>2hs 50min</t>
  </si>
  <si>
    <t>15hs 10min</t>
  </si>
  <si>
    <t>9hs 40min</t>
  </si>
  <si>
    <t>13hs 33min</t>
  </si>
  <si>
    <t>14hs 13min</t>
  </si>
  <si>
    <t>9hs 57min</t>
  </si>
  <si>
    <t xml:space="preserve">  </t>
  </si>
  <si>
    <t>16hs 41min</t>
  </si>
  <si>
    <t>22hs 32min</t>
  </si>
  <si>
    <t>32hs 42min</t>
  </si>
  <si>
    <t>2hs 3min</t>
  </si>
  <si>
    <t>11hs 12min</t>
  </si>
  <si>
    <t>22hs 12min</t>
  </si>
  <si>
    <t>10hs 13min</t>
  </si>
  <si>
    <t>7hs 34min</t>
  </si>
  <si>
    <t>25hs 37min</t>
  </si>
  <si>
    <t>16hs 48min</t>
  </si>
  <si>
    <t>14hs 33min</t>
  </si>
  <si>
    <t>23hs 10min</t>
  </si>
  <si>
    <t>3hs 40min</t>
  </si>
  <si>
    <t>15hs 4min</t>
  </si>
  <si>
    <t>13hs 1min</t>
  </si>
  <si>
    <t>7hs 30min</t>
  </si>
  <si>
    <t>9hs 43min</t>
  </si>
  <si>
    <t>2hs 18min</t>
  </si>
  <si>
    <t>16hs 10min</t>
  </si>
  <si>
    <t>10hs 30min</t>
  </si>
  <si>
    <t>29hs 35min</t>
  </si>
  <si>
    <t>1hs 40min</t>
  </si>
  <si>
    <t>11hs 34min</t>
  </si>
  <si>
    <t>6hs 54min</t>
  </si>
  <si>
    <t>11hs 33min</t>
  </si>
  <si>
    <t>10hs 28min</t>
  </si>
  <si>
    <t>37hs 55min</t>
  </si>
  <si>
    <t>25hs 45min</t>
  </si>
  <si>
    <t>27hs 10min</t>
  </si>
  <si>
    <t>11hs 14min</t>
  </si>
  <si>
    <t>3hs 10min</t>
  </si>
  <si>
    <t>0hs 45min</t>
  </si>
  <si>
    <t>10hs 9min</t>
  </si>
  <si>
    <t>19hs 19min</t>
  </si>
  <si>
    <t>28hs 31min</t>
  </si>
  <si>
    <t>10hs 10min</t>
  </si>
  <si>
    <t>14hs 19min</t>
  </si>
  <si>
    <t>10hs 25min</t>
  </si>
  <si>
    <t>9hs 38min</t>
  </si>
  <si>
    <t>18hs 13min</t>
  </si>
  <si>
    <t>5hs 8min</t>
  </si>
  <si>
    <t>11hs 47min</t>
  </si>
  <si>
    <t>19hs 14min</t>
  </si>
  <si>
    <t>2hs 25min</t>
  </si>
  <si>
    <t>9hs 13min</t>
  </si>
  <si>
    <t>21hs 33min</t>
  </si>
  <si>
    <t>19hs 32min</t>
  </si>
  <si>
    <t>11hs 42min</t>
  </si>
  <si>
    <t>19hs 30min</t>
  </si>
  <si>
    <t>18hs 18min</t>
  </si>
  <si>
    <t>11hs 24min</t>
  </si>
  <si>
    <t>24hs 41min</t>
  </si>
  <si>
    <t>6hs 40min</t>
  </si>
  <si>
    <t>Diemerson de Sousa da Silva</t>
  </si>
  <si>
    <t>16hs 14min</t>
  </si>
  <si>
    <t>Narcisio dos santos Moucherek junior</t>
  </si>
  <si>
    <t>12hs 13min</t>
  </si>
  <si>
    <t>5hs 29min</t>
  </si>
  <si>
    <t>Carlos Magno Pereira Bacelar</t>
  </si>
  <si>
    <t>5hs 48min</t>
  </si>
  <si>
    <t>3hs 25min</t>
  </si>
  <si>
    <t>Pedro Lucas de Araujo Colins</t>
  </si>
  <si>
    <t>1hs 16min</t>
  </si>
  <si>
    <t>Natanaelson da Silva Santos</t>
  </si>
  <si>
    <t>3hs 16min</t>
  </si>
  <si>
    <t>Marcos Vinicio da Silva Sousa</t>
  </si>
  <si>
    <t>7hs 40min</t>
  </si>
  <si>
    <t>5hs 50min</t>
  </si>
  <si>
    <t>Carlos Manoel Bezerra da Silva</t>
  </si>
  <si>
    <t>0hs 2min</t>
  </si>
  <si>
    <t>HORA   EXTRA   BISTRO 06 2026</t>
  </si>
  <si>
    <t>FÉRIAS 1/2MES</t>
  </si>
  <si>
    <t>férias 1/2 mês</t>
  </si>
  <si>
    <t>Churras4</t>
  </si>
</sst>
</file>

<file path=xl/styles.xml><?xml version="1.0" encoding="utf-8"?>
<styleSheet xmlns="http://schemas.openxmlformats.org/spreadsheetml/2006/main">
  <numFmts count="6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[$-416]mmmm\-yy;@"/>
    <numFmt numFmtId="165" formatCode="dd/mm/yy;@"/>
    <numFmt numFmtId="166" formatCode="0.000"/>
    <numFmt numFmtId="167" formatCode="d/m/yy;@"/>
  </numFmts>
  <fonts count="3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Arial"/>
      <family val="2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6"/>
      <color rgb="FFFF0000"/>
      <name val="Calibri"/>
      <family val="2"/>
      <scheme val="minor"/>
    </font>
    <font>
      <b/>
      <sz val="12"/>
      <color indexed="8"/>
      <name val="Calibri"/>
      <family val="2"/>
    </font>
    <font>
      <sz val="10"/>
      <color indexed="8"/>
      <name val="Verdan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1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1"/>
      <color theme="10"/>
      <name val="Calibri"/>
      <family val="2"/>
    </font>
    <font>
      <sz val="10"/>
      <name val="Arial"/>
      <family val="2"/>
    </font>
    <font>
      <sz val="8"/>
      <name val="Calibri"/>
      <family val="2"/>
      <scheme val="minor"/>
    </font>
    <font>
      <b/>
      <sz val="11"/>
      <color rgb="FFFF0000"/>
      <name val="Calibri"/>
      <family val="2"/>
    </font>
    <font>
      <sz val="11"/>
      <name val="Calibri"/>
      <family val="2"/>
    </font>
    <font>
      <sz val="14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20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98">
    <xf numFmtId="0" fontId="0" fillId="0" borderId="0"/>
    <xf numFmtId="43" fontId="6" fillId="0" borderId="0" applyFont="0" applyFill="0" applyBorder="0" applyAlignment="0" applyProtection="0"/>
    <xf numFmtId="0" fontId="12" fillId="0" borderId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6" borderId="0" applyNumberFormat="0" applyBorder="0" applyAlignment="0" applyProtection="0"/>
    <xf numFmtId="0" fontId="8" fillId="9" borderId="0" applyNumberFormat="0" applyBorder="0" applyAlignment="0" applyProtection="0"/>
    <xf numFmtId="0" fontId="8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0" borderId="0" applyNumberFormat="0" applyBorder="0" applyAlignment="0" applyProtection="0"/>
    <xf numFmtId="0" fontId="13" fillId="11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6" borderId="0" applyNumberFormat="0" applyBorder="0" applyAlignment="0" applyProtection="0"/>
    <xf numFmtId="0" fontId="14" fillId="5" borderId="0" applyNumberFormat="0" applyBorder="0" applyAlignment="0" applyProtection="0"/>
    <xf numFmtId="0" fontId="15" fillId="17" borderId="18" applyNumberFormat="0" applyAlignment="0" applyProtection="0"/>
    <xf numFmtId="0" fontId="16" fillId="18" borderId="19" applyNumberFormat="0" applyAlignment="0" applyProtection="0"/>
    <xf numFmtId="0" fontId="17" fillId="0" borderId="20" applyNumberFormat="0" applyFill="0" applyAlignment="0" applyProtection="0"/>
    <xf numFmtId="0" fontId="13" fillId="19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22" borderId="0" applyNumberFormat="0" applyBorder="0" applyAlignment="0" applyProtection="0"/>
    <xf numFmtId="0" fontId="18" fillId="8" borderId="18" applyNumberFormat="0" applyAlignment="0" applyProtection="0"/>
    <xf numFmtId="0" fontId="19" fillId="4" borderId="0" applyNumberFormat="0" applyBorder="0" applyAlignment="0" applyProtection="0"/>
    <xf numFmtId="44" fontId="8" fillId="0" borderId="0" applyFont="0" applyFill="0" applyBorder="0" applyAlignment="0" applyProtection="0"/>
    <xf numFmtId="0" fontId="20" fillId="23" borderId="0" applyNumberFormat="0" applyBorder="0" applyAlignment="0" applyProtection="0"/>
    <xf numFmtId="0" fontId="8" fillId="24" borderId="21" applyNumberFormat="0" applyFont="0" applyAlignment="0" applyProtection="0"/>
    <xf numFmtId="9" fontId="8" fillId="0" borderId="0" applyFont="0" applyFill="0" applyBorder="0" applyAlignment="0" applyProtection="0"/>
    <xf numFmtId="0" fontId="21" fillId="17" borderId="22" applyNumberFormat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23" applyNumberFormat="0" applyFill="0" applyAlignment="0" applyProtection="0"/>
    <xf numFmtId="0" fontId="26" fillId="0" borderId="24" applyNumberFormat="0" applyFill="0" applyAlignment="0" applyProtection="0"/>
    <xf numFmtId="0" fontId="27" fillId="0" borderId="25" applyNumberFormat="0" applyFill="0" applyAlignment="0" applyProtection="0"/>
    <xf numFmtId="0" fontId="27" fillId="0" borderId="0" applyNumberFormat="0" applyFill="0" applyBorder="0" applyAlignment="0" applyProtection="0"/>
    <xf numFmtId="0" fontId="7" fillId="0" borderId="26" applyNumberFormat="0" applyFill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28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29" fillId="0" borderId="0"/>
    <xf numFmtId="0" fontId="29" fillId="0" borderId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8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8" fillId="0" borderId="0"/>
  </cellStyleXfs>
  <cellXfs count="77">
    <xf numFmtId="0" fontId="0" fillId="0" borderId="0" xfId="0"/>
    <xf numFmtId="0" fontId="0" fillId="0" borderId="1" xfId="0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5" xfId="0" applyBorder="1"/>
    <xf numFmtId="0" fontId="3" fillId="0" borderId="6" xfId="0" applyFont="1" applyBorder="1"/>
    <xf numFmtId="164" fontId="3" fillId="0" borderId="7" xfId="0" applyNumberFormat="1" applyFont="1" applyBorder="1" applyAlignment="1">
      <alignment horizontal="center"/>
    </xf>
    <xf numFmtId="165" fontId="3" fillId="0" borderId="7" xfId="0" applyNumberFormat="1" applyFont="1" applyBorder="1" applyAlignment="1">
      <alignment horizontal="center"/>
    </xf>
    <xf numFmtId="0" fontId="0" fillId="0" borderId="8" xfId="0" applyBorder="1"/>
    <xf numFmtId="0" fontId="3" fillId="0" borderId="9" xfId="0" applyFont="1" applyBorder="1"/>
    <xf numFmtId="0" fontId="3" fillId="0" borderId="10" xfId="0" applyFont="1" applyBorder="1"/>
    <xf numFmtId="0" fontId="3" fillId="0" borderId="0" xfId="0" applyFont="1"/>
    <xf numFmtId="0" fontId="1" fillId="0" borderId="11" xfId="0" applyFont="1" applyBorder="1" applyAlignment="1" applyProtection="1">
      <alignment horizontal="center" vertical="center" wrapText="1"/>
      <protection locked="0"/>
    </xf>
    <xf numFmtId="0" fontId="1" fillId="0" borderId="12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0" fillId="0" borderId="12" xfId="0" applyBorder="1"/>
    <xf numFmtId="0" fontId="3" fillId="0" borderId="7" xfId="0" applyFont="1" applyBorder="1"/>
    <xf numFmtId="0" fontId="4" fillId="0" borderId="12" xfId="0" applyFont="1" applyBorder="1" applyAlignment="1">
      <alignment horizontal="center" vertical="center" wrapText="1"/>
    </xf>
    <xf numFmtId="0" fontId="5" fillId="0" borderId="0" xfId="0" applyFont="1"/>
    <xf numFmtId="0" fontId="1" fillId="0" borderId="12" xfId="0" applyFont="1" applyBorder="1" applyAlignment="1" applyProtection="1">
      <alignment horizontal="center" vertical="center" wrapText="1"/>
      <protection locked="0"/>
    </xf>
    <xf numFmtId="0" fontId="0" fillId="0" borderId="12" xfId="0" applyBorder="1" applyAlignment="1">
      <alignment horizontal="center"/>
    </xf>
    <xf numFmtId="0" fontId="0" fillId="0" borderId="12" xfId="0" applyBorder="1" applyProtection="1">
      <protection locked="0"/>
    </xf>
    <xf numFmtId="166" fontId="0" fillId="0" borderId="0" xfId="0" applyNumberFormat="1"/>
    <xf numFmtId="0" fontId="4" fillId="0" borderId="13" xfId="0" applyFont="1" applyBorder="1" applyAlignment="1">
      <alignment horizontal="center" vertical="center" wrapText="1"/>
    </xf>
    <xf numFmtId="2" fontId="0" fillId="0" borderId="0" xfId="0" applyNumberFormat="1"/>
    <xf numFmtId="0" fontId="8" fillId="0" borderId="12" xfId="0" applyFont="1" applyBorder="1" applyAlignment="1">
      <alignment horizontal="center"/>
    </xf>
    <xf numFmtId="0" fontId="8" fillId="0" borderId="12" xfId="0" applyFont="1" applyBorder="1" applyAlignment="1">
      <alignment horizontal="left"/>
    </xf>
    <xf numFmtId="0" fontId="8" fillId="0" borderId="12" xfId="0" applyFont="1" applyBorder="1"/>
    <xf numFmtId="165" fontId="8" fillId="0" borderId="12" xfId="0" applyNumberFormat="1" applyFont="1" applyBorder="1"/>
    <xf numFmtId="0" fontId="4" fillId="0" borderId="10" xfId="0" applyFont="1" applyBorder="1" applyAlignment="1">
      <alignment horizontal="center" vertical="center" wrapText="1"/>
    </xf>
    <xf numFmtId="167" fontId="0" fillId="0" borderId="12" xfId="0" applyNumberFormat="1" applyBorder="1" applyAlignment="1">
      <alignment horizontal="center"/>
    </xf>
    <xf numFmtId="0" fontId="1" fillId="0" borderId="9" xfId="0" applyFont="1" applyBorder="1" applyAlignment="1">
      <alignment horizontal="center" vertical="center" wrapText="1"/>
    </xf>
    <xf numFmtId="0" fontId="0" fillId="0" borderId="14" xfId="0" applyBorder="1"/>
    <xf numFmtId="0" fontId="0" fillId="0" borderId="15" xfId="0" applyBorder="1"/>
    <xf numFmtId="0" fontId="9" fillId="0" borderId="0" xfId="0" applyFont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165" fontId="7" fillId="0" borderId="12" xfId="0" applyNumberFormat="1" applyFont="1" applyBorder="1" applyAlignment="1">
      <alignment horizontal="center" vertical="center"/>
    </xf>
    <xf numFmtId="165" fontId="7" fillId="0" borderId="12" xfId="0" applyNumberFormat="1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 wrapText="1"/>
    </xf>
    <xf numFmtId="43" fontId="11" fillId="2" borderId="12" xfId="1" applyFont="1" applyFill="1" applyBorder="1" applyAlignment="1">
      <alignment horizontal="center" vertical="center"/>
    </xf>
    <xf numFmtId="43" fontId="11" fillId="2" borderId="12" xfId="1" applyFont="1" applyFill="1" applyBorder="1" applyAlignment="1">
      <alignment horizontal="center"/>
    </xf>
    <xf numFmtId="1" fontId="8" fillId="0" borderId="12" xfId="0" applyNumberFormat="1" applyFont="1" applyBorder="1"/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 applyProtection="1">
      <alignment horizontal="center" vertical="center" wrapText="1"/>
      <protection locked="0"/>
    </xf>
    <xf numFmtId="0" fontId="1" fillId="0" borderId="16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43" fontId="0" fillId="0" borderId="12" xfId="1" applyFont="1" applyFill="1" applyBorder="1"/>
    <xf numFmtId="165" fontId="0" fillId="0" borderId="12" xfId="0" applyNumberFormat="1" applyBorder="1"/>
    <xf numFmtId="43" fontId="8" fillId="0" borderId="12" xfId="47" applyFont="1" applyFill="1" applyBorder="1"/>
    <xf numFmtId="43" fontId="0" fillId="0" borderId="0" xfId="0" applyNumberFormat="1"/>
    <xf numFmtId="0" fontId="7" fillId="0" borderId="11" xfId="0" applyFont="1" applyBorder="1" applyProtection="1">
      <protection locked="0"/>
    </xf>
    <xf numFmtId="43" fontId="8" fillId="0" borderId="12" xfId="0" applyNumberFormat="1" applyFont="1" applyBorder="1"/>
    <xf numFmtId="0" fontId="8" fillId="0" borderId="11" xfId="0" applyFont="1" applyBorder="1" applyProtection="1">
      <protection locked="0"/>
    </xf>
    <xf numFmtId="167" fontId="8" fillId="0" borderId="12" xfId="0" applyNumberFormat="1" applyFont="1" applyBorder="1" applyAlignment="1">
      <alignment horizontal="center"/>
    </xf>
    <xf numFmtId="0" fontId="8" fillId="0" borderId="12" xfId="0" applyFont="1" applyBorder="1" applyProtection="1">
      <protection locked="0"/>
    </xf>
    <xf numFmtId="0" fontId="7" fillId="0" borderId="12" xfId="0" applyFont="1" applyBorder="1" applyProtection="1">
      <protection locked="0"/>
    </xf>
    <xf numFmtId="165" fontId="8" fillId="0" borderId="12" xfId="0" applyNumberFormat="1" applyFont="1" applyBorder="1" applyProtection="1">
      <protection locked="0"/>
    </xf>
    <xf numFmtId="43" fontId="8" fillId="0" borderId="12" xfId="47" applyBorder="1"/>
    <xf numFmtId="43" fontId="8" fillId="0" borderId="9" xfId="47" applyFont="1" applyBorder="1"/>
    <xf numFmtId="43" fontId="8" fillId="0" borderId="12" xfId="47" applyFont="1" applyBorder="1"/>
    <xf numFmtId="43" fontId="0" fillId="0" borderId="12" xfId="0" applyNumberFormat="1" applyBorder="1"/>
    <xf numFmtId="43" fontId="6" fillId="0" borderId="12" xfId="1" applyFont="1" applyBorder="1"/>
    <xf numFmtId="43" fontId="0" fillId="0" borderId="12" xfId="1" applyFont="1" applyBorder="1"/>
    <xf numFmtId="0" fontId="0" fillId="0" borderId="0" xfId="0" applyAlignment="1">
      <alignment wrapText="1"/>
    </xf>
    <xf numFmtId="0" fontId="31" fillId="0" borderId="12" xfId="0" applyFont="1" applyBorder="1" applyProtection="1">
      <protection locked="0"/>
    </xf>
    <xf numFmtId="43" fontId="0" fillId="0" borderId="0" xfId="1" applyFont="1"/>
    <xf numFmtId="0" fontId="1" fillId="0" borderId="12" xfId="0" applyFont="1" applyBorder="1"/>
    <xf numFmtId="43" fontId="8" fillId="0" borderId="12" xfId="1" applyFont="1" applyBorder="1"/>
    <xf numFmtId="43" fontId="8" fillId="0" borderId="12" xfId="1" applyFont="1" applyFill="1" applyBorder="1"/>
    <xf numFmtId="0" fontId="33" fillId="0" borderId="0" xfId="0" applyFont="1"/>
    <xf numFmtId="0" fontId="35" fillId="0" borderId="0" xfId="0" applyFont="1"/>
    <xf numFmtId="0" fontId="34" fillId="0" borderId="12" xfId="0" applyFont="1" applyBorder="1"/>
    <xf numFmtId="0" fontId="0" fillId="0" borderId="11" xfId="0" applyBorder="1"/>
    <xf numFmtId="0" fontId="32" fillId="0" borderId="11" xfId="0" applyFont="1" applyBorder="1" applyProtection="1">
      <protection locked="0"/>
    </xf>
  </cellXfs>
  <cellStyles count="98">
    <cellStyle name="20% - Accent1" xfId="3"/>
    <cellStyle name="20% - Accent2" xfId="4"/>
    <cellStyle name="20% - Accent3" xfId="5"/>
    <cellStyle name="20% - Accent4" xfId="6"/>
    <cellStyle name="20% - Accent5" xfId="7"/>
    <cellStyle name="20% - Accent6" xfId="8"/>
    <cellStyle name="40% - Accent1" xfId="9"/>
    <cellStyle name="40% - Accent2" xfId="10"/>
    <cellStyle name="40% - Accent3" xfId="11"/>
    <cellStyle name="40% - Accent4" xfId="12"/>
    <cellStyle name="40% - Accent5" xfId="13"/>
    <cellStyle name="40% - Accent6" xfId="14"/>
    <cellStyle name="60% - Accent1" xfId="15"/>
    <cellStyle name="60% - Accent2" xfId="16"/>
    <cellStyle name="60% - Accent3" xfId="17"/>
    <cellStyle name="60% - Accent4" xfId="18"/>
    <cellStyle name="60% - Accent5" xfId="19"/>
    <cellStyle name="60% - Accent6" xfId="20"/>
    <cellStyle name="Accent1" xfId="25"/>
    <cellStyle name="Accent2" xfId="26"/>
    <cellStyle name="Accent3" xfId="27"/>
    <cellStyle name="Accent4" xfId="28"/>
    <cellStyle name="Accent5" xfId="29"/>
    <cellStyle name="Accent6" xfId="30"/>
    <cellStyle name="Bad" xfId="32"/>
    <cellStyle name="Calculation" xfId="22"/>
    <cellStyle name="Check Cell" xfId="23"/>
    <cellStyle name="Explanatory Text" xfId="39"/>
    <cellStyle name="Good" xfId="21"/>
    <cellStyle name="Heading 1" xfId="41"/>
    <cellStyle name="Heading 2" xfId="42"/>
    <cellStyle name="Heading 3" xfId="43"/>
    <cellStyle name="Heading 4" xfId="44"/>
    <cellStyle name="Hiperlink 2" xfId="53"/>
    <cellStyle name="Input" xfId="31"/>
    <cellStyle name="Linked Cell" xfId="24"/>
    <cellStyle name="Moeda 2" xfId="33"/>
    <cellStyle name="Neutral" xfId="34"/>
    <cellStyle name="Normal" xfId="0" builtinId="0"/>
    <cellStyle name="Normal 2" xfId="48"/>
    <cellStyle name="Normal 2 2" xfId="58"/>
    <cellStyle name="Normal 2 3" xfId="77"/>
    <cellStyle name="Normal 3" xfId="52"/>
    <cellStyle name="Normal 3 2" xfId="59"/>
    <cellStyle name="Normal 3 3" xfId="81"/>
    <cellStyle name="Normal 4" xfId="57"/>
    <cellStyle name="Normal 4 2" xfId="85"/>
    <cellStyle name="Normal 5" xfId="63"/>
    <cellStyle name="Normal 5 2" xfId="89"/>
    <cellStyle name="Normal 6" xfId="67"/>
    <cellStyle name="Normal 6 2" xfId="93"/>
    <cellStyle name="Normal 7" xfId="2"/>
    <cellStyle name="Normal 7 2" xfId="97"/>
    <cellStyle name="Normal 8" xfId="72"/>
    <cellStyle name="Normal 9" xfId="71"/>
    <cellStyle name="Note" xfId="35"/>
    <cellStyle name="Output" xfId="37"/>
    <cellStyle name="Porcentagem 2" xfId="49"/>
    <cellStyle name="Porcentagem 2 2" xfId="78"/>
    <cellStyle name="Porcentagem 3" xfId="54"/>
    <cellStyle name="Porcentagem 3 2" xfId="82"/>
    <cellStyle name="Porcentagem 4" xfId="60"/>
    <cellStyle name="Porcentagem 4 2" xfId="86"/>
    <cellStyle name="Porcentagem 5" xfId="64"/>
    <cellStyle name="Porcentagem 5 2" xfId="90"/>
    <cellStyle name="Porcentagem 6" xfId="68"/>
    <cellStyle name="Porcentagem 6 2" xfId="94"/>
    <cellStyle name="Porcentagem 7" xfId="36"/>
    <cellStyle name="Porcentagem 8" xfId="74"/>
    <cellStyle name="Separador de milhares" xfId="1" builtinId="3"/>
    <cellStyle name="Title" xfId="40"/>
    <cellStyle name="Total 2" xfId="45"/>
    <cellStyle name="Vírgula 2" xfId="47"/>
    <cellStyle name="Vírgula 2 2" xfId="51"/>
    <cellStyle name="Vírgula 2 2 2" xfId="80"/>
    <cellStyle name="Vírgula 2 3" xfId="56"/>
    <cellStyle name="Vírgula 2 3 2" xfId="84"/>
    <cellStyle name="Vírgula 2 4" xfId="62"/>
    <cellStyle name="Vírgula 2 4 2" xfId="88"/>
    <cellStyle name="Vírgula 2 5" xfId="66"/>
    <cellStyle name="Vírgula 2 5 2" xfId="92"/>
    <cellStyle name="Vírgula 2 6" xfId="70"/>
    <cellStyle name="Vírgula 2 6 2" xfId="96"/>
    <cellStyle name="Vírgula 2 7" xfId="76"/>
    <cellStyle name="Vírgula 2 8" xfId="75"/>
    <cellStyle name="Vírgula 3" xfId="50"/>
    <cellStyle name="Vírgula 3 2" xfId="79"/>
    <cellStyle name="Vírgula 4" xfId="55"/>
    <cellStyle name="Vírgula 4 2" xfId="83"/>
    <cellStyle name="Vírgula 5" xfId="61"/>
    <cellStyle name="Vírgula 5 2" xfId="87"/>
    <cellStyle name="Vírgula 6" xfId="65"/>
    <cellStyle name="Vírgula 6 2" xfId="91"/>
    <cellStyle name="Vírgula 7" xfId="69"/>
    <cellStyle name="Vírgula 7 2" xfId="95"/>
    <cellStyle name="Vírgula 8" xfId="46"/>
    <cellStyle name="Vírgula 9" xfId="73"/>
    <cellStyle name="Warning Text" xfId="3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P100"/>
  <sheetViews>
    <sheetView tabSelected="1" view="pageBreakPreview" zoomScale="6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F20" sqref="F20"/>
    </sheetView>
  </sheetViews>
  <sheetFormatPr defaultRowHeight="15"/>
  <cols>
    <col min="1" max="1" width="5.140625" customWidth="1"/>
    <col min="2" max="2" width="26.140625" customWidth="1"/>
    <col min="3" max="3" width="6.140625" customWidth="1"/>
    <col min="4" max="5" width="14.7109375" customWidth="1"/>
    <col min="6" max="6" width="14.140625" customWidth="1"/>
    <col min="7" max="11" width="14.28515625" customWidth="1"/>
    <col min="12" max="12" width="13.85546875" customWidth="1"/>
    <col min="13" max="13" width="16.140625" customWidth="1"/>
    <col min="14" max="14" width="14.5703125" customWidth="1"/>
    <col min="15" max="15" width="13.7109375" customWidth="1"/>
    <col min="16" max="16" width="11.5703125" customWidth="1"/>
    <col min="20" max="20" width="34.42578125" customWidth="1"/>
  </cols>
  <sheetData>
    <row r="1" spans="1:16" ht="35.65" customHeight="1">
      <c r="B1" s="19" t="s">
        <v>401</v>
      </c>
      <c r="E1" s="25"/>
      <c r="F1" s="25"/>
      <c r="G1" s="25"/>
      <c r="H1" s="25"/>
      <c r="I1" s="25"/>
      <c r="J1" s="25"/>
      <c r="K1" s="25"/>
      <c r="L1" s="23" t="e">
        <f>SUM(L3:L100)</f>
        <v>#VALUE!</v>
      </c>
      <c r="M1" s="23" t="e">
        <f>SUM(M3:M100)</f>
        <v>#VALUE!</v>
      </c>
      <c r="N1" s="23" t="e">
        <f>SUM(N3:N100)</f>
        <v>#VALUE!</v>
      </c>
      <c r="O1" s="23" t="e">
        <f>SUM(O3:O100)</f>
        <v>#VALUE!</v>
      </c>
    </row>
    <row r="2" spans="1:16" ht="60">
      <c r="A2" s="18" t="s">
        <v>9</v>
      </c>
      <c r="B2" s="18" t="s">
        <v>10</v>
      </c>
      <c r="C2" s="18" t="s">
        <v>5</v>
      </c>
      <c r="D2" s="18" t="s">
        <v>11</v>
      </c>
      <c r="E2" s="18" t="s">
        <v>12</v>
      </c>
      <c r="F2" s="18" t="s">
        <v>13</v>
      </c>
      <c r="G2" s="18" t="s">
        <v>14</v>
      </c>
      <c r="H2" s="18" t="s">
        <v>63</v>
      </c>
      <c r="I2" s="18" t="s">
        <v>64</v>
      </c>
      <c r="J2" s="30" t="s">
        <v>76</v>
      </c>
      <c r="K2" s="30" t="s">
        <v>157</v>
      </c>
      <c r="L2" s="30" t="s">
        <v>11</v>
      </c>
      <c r="M2" s="18" t="s">
        <v>12</v>
      </c>
      <c r="N2" s="18" t="s">
        <v>13</v>
      </c>
      <c r="O2" s="18" t="s">
        <v>14</v>
      </c>
      <c r="P2" s="24" t="s">
        <v>5</v>
      </c>
    </row>
    <row r="3" spans="1:16">
      <c r="A3" s="26">
        <v>370</v>
      </c>
      <c r="B3" s="27" t="s">
        <v>88</v>
      </c>
      <c r="C3" s="26" t="s">
        <v>5</v>
      </c>
      <c r="D3" s="26" t="s">
        <v>306</v>
      </c>
      <c r="E3" s="26" t="s">
        <v>156</v>
      </c>
      <c r="F3" s="26" t="s">
        <v>156</v>
      </c>
      <c r="G3" s="26" t="s">
        <v>287</v>
      </c>
      <c r="H3" s="31">
        <v>0</v>
      </c>
      <c r="I3" s="21"/>
      <c r="J3" s="31">
        <v>45546</v>
      </c>
      <c r="K3" s="31">
        <v>45649</v>
      </c>
      <c r="L3" s="23">
        <f t="shared" ref="L3:L34" si="0">IF(SEARCH("hs",D3)=2,VALUE(LEFT(D3,1)),VALUE(LEFT(D3,2)))+(VALUE(MID(D3,SEARCH("hs",D3)+3,SEARCH("min",D3)-(SEARCH("hs",D3)+3)))/60)</f>
        <v>11.966666666666667</v>
      </c>
      <c r="M3" s="23">
        <f t="shared" ref="M3:M34" si="1">IF(SEARCH("hs",E3)=2,VALUE(LEFT(E3,1)),VALUE(LEFT(E3,2)))+(VALUE(MID(E3,SEARCH("hs",E3)+3,SEARCH("min",E3)-(SEARCH("hs",E3)+3)))/60)</f>
        <v>0</v>
      </c>
      <c r="N3" s="23">
        <f t="shared" ref="N3:N34" si="2">IF(SEARCH("hs",F3)=2,VALUE(LEFT(F3,1)),VALUE(LEFT(F3,2)))+(VALUE(MID(F3,SEARCH("hs",F3)+3,SEARCH("min",F3)-(SEARCH("hs",F3)+3)))/60)</f>
        <v>0</v>
      </c>
      <c r="O3" s="23">
        <f t="shared" ref="O3:O34" si="3">IF(SEARCH("hs",G3)=2,VALUE(LEFT(G3,1)),VALUE(LEFT(G3,2)))+(VALUE(MID(G3,SEARCH("hs",G3)+3,SEARCH("min",G3)-(SEARCH("hs",G3)+3)))/60)</f>
        <v>6.0666666666666664</v>
      </c>
    </row>
    <row r="4" spans="1:16">
      <c r="A4" s="26">
        <v>198</v>
      </c>
      <c r="B4" s="27" t="s">
        <v>24</v>
      </c>
      <c r="C4" s="26" t="s">
        <v>5</v>
      </c>
      <c r="D4" s="21" t="s">
        <v>307</v>
      </c>
      <c r="E4" s="21" t="s">
        <v>156</v>
      </c>
      <c r="F4" s="21" t="s">
        <v>156</v>
      </c>
      <c r="G4" s="26" t="s">
        <v>289</v>
      </c>
      <c r="H4" s="31">
        <v>0</v>
      </c>
      <c r="I4" s="21"/>
      <c r="J4" s="31">
        <v>44070</v>
      </c>
      <c r="K4" s="31">
        <v>44202</v>
      </c>
      <c r="L4" s="23">
        <f t="shared" si="0"/>
        <v>5.083333333333333</v>
      </c>
      <c r="M4" s="23">
        <f t="shared" si="1"/>
        <v>0</v>
      </c>
      <c r="N4" s="23">
        <f t="shared" si="2"/>
        <v>0</v>
      </c>
      <c r="O4" s="23">
        <f t="shared" si="3"/>
        <v>6.0166666666666666</v>
      </c>
    </row>
    <row r="5" spans="1:16">
      <c r="A5" s="26">
        <v>494</v>
      </c>
      <c r="B5" s="27" t="s">
        <v>272</v>
      </c>
      <c r="C5" s="26" t="s">
        <v>5</v>
      </c>
      <c r="D5" s="21" t="s">
        <v>308</v>
      </c>
      <c r="E5" s="21" t="s">
        <v>309</v>
      </c>
      <c r="F5" s="21" t="s">
        <v>156</v>
      </c>
      <c r="G5" s="26" t="s">
        <v>288</v>
      </c>
      <c r="H5" s="31">
        <v>0</v>
      </c>
      <c r="I5" s="21"/>
      <c r="J5" s="31">
        <v>46108</v>
      </c>
      <c r="K5" s="31">
        <v>46163</v>
      </c>
      <c r="L5" s="23">
        <f t="shared" si="0"/>
        <v>18.666666666666668</v>
      </c>
      <c r="M5" s="23">
        <f t="shared" si="1"/>
        <v>12.65</v>
      </c>
      <c r="N5" s="23">
        <f t="shared" si="2"/>
        <v>0</v>
      </c>
      <c r="O5" s="23">
        <f t="shared" si="3"/>
        <v>6.083333333333333</v>
      </c>
    </row>
    <row r="6" spans="1:16">
      <c r="A6" s="26">
        <v>428</v>
      </c>
      <c r="B6" s="27" t="s">
        <v>110</v>
      </c>
      <c r="C6" s="26" t="s">
        <v>5</v>
      </c>
      <c r="D6" s="26" t="s">
        <v>310</v>
      </c>
      <c r="E6" s="26" t="s">
        <v>311</v>
      </c>
      <c r="F6" s="26" t="s">
        <v>156</v>
      </c>
      <c r="G6" s="26" t="s">
        <v>280</v>
      </c>
      <c r="H6" s="31">
        <v>0</v>
      </c>
      <c r="I6" s="26"/>
      <c r="J6" s="56">
        <v>45794</v>
      </c>
      <c r="K6" s="56">
        <v>45862</v>
      </c>
      <c r="L6" s="23">
        <f t="shared" si="0"/>
        <v>8.0833333333333339</v>
      </c>
      <c r="M6" s="23">
        <f t="shared" si="1"/>
        <v>24.95</v>
      </c>
      <c r="N6" s="23">
        <f t="shared" si="2"/>
        <v>0</v>
      </c>
      <c r="O6" s="23">
        <f t="shared" si="3"/>
        <v>6.0333333333333332</v>
      </c>
    </row>
    <row r="7" spans="1:16">
      <c r="A7" s="26">
        <v>54</v>
      </c>
      <c r="B7" s="27" t="s">
        <v>25</v>
      </c>
      <c r="C7" s="26" t="s">
        <v>5</v>
      </c>
      <c r="D7" s="26" t="s">
        <v>156</v>
      </c>
      <c r="E7" s="26" t="s">
        <v>156</v>
      </c>
      <c r="F7" s="26" t="s">
        <v>156</v>
      </c>
      <c r="G7" s="26" t="s">
        <v>280</v>
      </c>
      <c r="H7" s="31">
        <v>0</v>
      </c>
      <c r="I7" s="21"/>
      <c r="J7" s="31">
        <v>42278</v>
      </c>
      <c r="K7" s="31">
        <v>42507</v>
      </c>
      <c r="L7" s="23">
        <f t="shared" si="0"/>
        <v>0</v>
      </c>
      <c r="M7" s="23">
        <f t="shared" si="1"/>
        <v>0</v>
      </c>
      <c r="N7" s="23">
        <f t="shared" si="2"/>
        <v>0</v>
      </c>
      <c r="O7" s="23">
        <f t="shared" si="3"/>
        <v>6.0333333333333332</v>
      </c>
    </row>
    <row r="8" spans="1:16">
      <c r="A8" s="26">
        <v>491</v>
      </c>
      <c r="B8" s="27" t="s">
        <v>145</v>
      </c>
      <c r="C8" s="26" t="s">
        <v>5</v>
      </c>
      <c r="D8" s="26" t="s">
        <v>156</v>
      </c>
      <c r="E8" s="26" t="s">
        <v>156</v>
      </c>
      <c r="F8" s="26" t="s">
        <v>156</v>
      </c>
      <c r="G8" s="26" t="s">
        <v>280</v>
      </c>
      <c r="H8" s="31">
        <v>0</v>
      </c>
      <c r="I8" s="21"/>
      <c r="J8" s="31">
        <v>46093</v>
      </c>
      <c r="K8" s="31">
        <v>46093</v>
      </c>
      <c r="L8" s="23">
        <f t="shared" si="0"/>
        <v>0</v>
      </c>
      <c r="M8" s="23">
        <f t="shared" si="1"/>
        <v>0</v>
      </c>
      <c r="N8" s="23">
        <f t="shared" si="2"/>
        <v>0</v>
      </c>
      <c r="O8" s="23">
        <f t="shared" si="3"/>
        <v>6.0333333333333332</v>
      </c>
    </row>
    <row r="9" spans="1:16">
      <c r="A9" s="26">
        <v>186</v>
      </c>
      <c r="B9" s="27" t="s">
        <v>26</v>
      </c>
      <c r="C9" s="26" t="s">
        <v>5</v>
      </c>
      <c r="D9" s="26" t="s">
        <v>290</v>
      </c>
      <c r="E9" s="26" t="s">
        <v>156</v>
      </c>
      <c r="F9" s="26" t="s">
        <v>156</v>
      </c>
      <c r="G9" s="26" t="s">
        <v>288</v>
      </c>
      <c r="H9" s="31">
        <v>0</v>
      </c>
      <c r="I9" s="26"/>
      <c r="J9" s="56">
        <v>43774</v>
      </c>
      <c r="K9" s="56">
        <v>43862</v>
      </c>
      <c r="L9" s="23">
        <f t="shared" si="0"/>
        <v>20.55</v>
      </c>
      <c r="M9" s="23">
        <f t="shared" si="1"/>
        <v>0</v>
      </c>
      <c r="N9" s="23">
        <f t="shared" si="2"/>
        <v>0</v>
      </c>
      <c r="O9" s="23">
        <f t="shared" si="3"/>
        <v>6.083333333333333</v>
      </c>
    </row>
    <row r="10" spans="1:16">
      <c r="A10" s="26">
        <v>358</v>
      </c>
      <c r="B10" s="27" t="s">
        <v>85</v>
      </c>
      <c r="C10" s="26" t="s">
        <v>5</v>
      </c>
      <c r="D10" s="26" t="s">
        <v>312</v>
      </c>
      <c r="E10" s="26" t="s">
        <v>313</v>
      </c>
      <c r="F10" s="26" t="s">
        <v>156</v>
      </c>
      <c r="G10" s="26" t="s">
        <v>287</v>
      </c>
      <c r="H10" s="31">
        <v>0</v>
      </c>
      <c r="I10" s="26"/>
      <c r="J10" s="56">
        <v>45483</v>
      </c>
      <c r="K10" s="56">
        <v>45551</v>
      </c>
      <c r="L10" s="23">
        <f t="shared" si="0"/>
        <v>6.5166666666666666</v>
      </c>
      <c r="M10" s="23">
        <f t="shared" si="1"/>
        <v>1.5</v>
      </c>
      <c r="N10" s="23">
        <f t="shared" si="2"/>
        <v>0</v>
      </c>
      <c r="O10" s="23">
        <f t="shared" si="3"/>
        <v>6.0666666666666664</v>
      </c>
    </row>
    <row r="11" spans="1:16">
      <c r="A11" s="26">
        <v>373</v>
      </c>
      <c r="B11" s="27" t="s">
        <v>94</v>
      </c>
      <c r="C11" s="26" t="s">
        <v>5</v>
      </c>
      <c r="D11" s="26" t="s">
        <v>296</v>
      </c>
      <c r="E11" s="26" t="s">
        <v>314</v>
      </c>
      <c r="F11" s="26" t="s">
        <v>156</v>
      </c>
      <c r="G11" s="26" t="s">
        <v>288</v>
      </c>
      <c r="H11" s="31">
        <v>0</v>
      </c>
      <c r="I11" s="21"/>
      <c r="J11" s="31">
        <v>45549</v>
      </c>
      <c r="K11" s="31">
        <v>45726</v>
      </c>
      <c r="L11" s="23">
        <f t="shared" si="0"/>
        <v>16.216666666666665</v>
      </c>
      <c r="M11" s="23">
        <f t="shared" si="1"/>
        <v>14.333333333333334</v>
      </c>
      <c r="N11" s="23">
        <f t="shared" si="2"/>
        <v>0</v>
      </c>
      <c r="O11" s="23">
        <f t="shared" si="3"/>
        <v>6.083333333333333</v>
      </c>
    </row>
    <row r="12" spans="1:16">
      <c r="A12" s="26">
        <v>453</v>
      </c>
      <c r="B12" s="27" t="s">
        <v>139</v>
      </c>
      <c r="C12" s="26" t="s">
        <v>5</v>
      </c>
      <c r="D12" s="26" t="s">
        <v>315</v>
      </c>
      <c r="E12" s="26" t="s">
        <v>316</v>
      </c>
      <c r="F12" s="26" t="s">
        <v>156</v>
      </c>
      <c r="G12" s="26" t="s">
        <v>287</v>
      </c>
      <c r="H12" s="31">
        <v>0</v>
      </c>
      <c r="I12" s="21"/>
      <c r="J12" s="31">
        <v>45908</v>
      </c>
      <c r="K12" s="31">
        <v>45934</v>
      </c>
      <c r="L12" s="23">
        <f t="shared" si="0"/>
        <v>14.783333333333333</v>
      </c>
      <c r="M12" s="23">
        <f t="shared" si="1"/>
        <v>16.25</v>
      </c>
      <c r="N12" s="23">
        <f t="shared" si="2"/>
        <v>0</v>
      </c>
      <c r="O12" s="23">
        <f t="shared" si="3"/>
        <v>6.0666666666666664</v>
      </c>
    </row>
    <row r="13" spans="1:16">
      <c r="A13" s="26">
        <v>81</v>
      </c>
      <c r="B13" s="27" t="s">
        <v>28</v>
      </c>
      <c r="C13" s="26" t="s">
        <v>5</v>
      </c>
      <c r="D13" s="26" t="s">
        <v>156</v>
      </c>
      <c r="E13" s="26" t="s">
        <v>156</v>
      </c>
      <c r="F13" s="26" t="s">
        <v>156</v>
      </c>
      <c r="G13" s="26" t="s">
        <v>278</v>
      </c>
      <c r="H13" s="31">
        <v>0</v>
      </c>
      <c r="I13" s="21"/>
      <c r="J13" s="31">
        <v>42660</v>
      </c>
      <c r="K13" s="31">
        <v>42698</v>
      </c>
      <c r="L13" s="23">
        <f t="shared" si="0"/>
        <v>0</v>
      </c>
      <c r="M13" s="23">
        <f t="shared" si="1"/>
        <v>0</v>
      </c>
      <c r="N13" s="23">
        <f t="shared" si="2"/>
        <v>0</v>
      </c>
      <c r="O13" s="23">
        <f t="shared" si="3"/>
        <v>6.05</v>
      </c>
    </row>
    <row r="14" spans="1:16">
      <c r="A14" s="26">
        <v>479</v>
      </c>
      <c r="B14" s="27" t="s">
        <v>92</v>
      </c>
      <c r="C14" s="26" t="s">
        <v>5</v>
      </c>
      <c r="D14" s="21" t="s">
        <v>317</v>
      </c>
      <c r="E14" s="21" t="s">
        <v>318</v>
      </c>
      <c r="F14" s="21" t="s">
        <v>156</v>
      </c>
      <c r="G14" s="26" t="s">
        <v>288</v>
      </c>
      <c r="H14" s="31">
        <v>0</v>
      </c>
      <c r="I14" s="21"/>
      <c r="J14" s="31">
        <v>46050</v>
      </c>
      <c r="K14" s="31">
        <v>46086</v>
      </c>
      <c r="L14" s="23">
        <f t="shared" si="0"/>
        <v>19.45</v>
      </c>
      <c r="M14" s="23">
        <f t="shared" si="1"/>
        <v>16.116666666666667</v>
      </c>
      <c r="N14" s="23">
        <f t="shared" si="2"/>
        <v>0</v>
      </c>
      <c r="O14" s="23">
        <f t="shared" si="3"/>
        <v>6.083333333333333</v>
      </c>
    </row>
    <row r="15" spans="1:16" hidden="1">
      <c r="A15" s="26">
        <v>520</v>
      </c>
      <c r="B15" s="16" t="s">
        <v>389</v>
      </c>
      <c r="C15" s="26" t="s">
        <v>27</v>
      </c>
      <c r="D15" s="21" t="s">
        <v>390</v>
      </c>
      <c r="E15" s="21" t="s">
        <v>391</v>
      </c>
      <c r="F15" s="21" t="s">
        <v>156</v>
      </c>
      <c r="G15" s="21" t="s">
        <v>289</v>
      </c>
      <c r="H15" s="31">
        <v>0</v>
      </c>
      <c r="I15" s="21"/>
      <c r="J15" s="31">
        <v>46188</v>
      </c>
      <c r="K15" s="31">
        <v>0</v>
      </c>
      <c r="L15" s="23">
        <f t="shared" si="0"/>
        <v>5.8</v>
      </c>
      <c r="M15" s="23">
        <f t="shared" si="1"/>
        <v>3.4166666666666665</v>
      </c>
      <c r="N15" s="23">
        <f t="shared" si="2"/>
        <v>0</v>
      </c>
      <c r="O15" s="23">
        <f t="shared" si="3"/>
        <v>6.0166666666666666</v>
      </c>
    </row>
    <row r="16" spans="1:16" hidden="1">
      <c r="A16" s="26">
        <v>524</v>
      </c>
      <c r="B16" s="27" t="s">
        <v>399</v>
      </c>
      <c r="C16" s="26" t="s">
        <v>27</v>
      </c>
      <c r="D16" s="26" t="s">
        <v>156</v>
      </c>
      <c r="E16" s="26" t="s">
        <v>156</v>
      </c>
      <c r="F16" s="26" t="s">
        <v>400</v>
      </c>
      <c r="G16" s="26" t="s">
        <v>288</v>
      </c>
      <c r="H16" s="31">
        <v>0</v>
      </c>
      <c r="I16" s="31"/>
      <c r="J16" s="31">
        <v>46196</v>
      </c>
      <c r="K16" s="31">
        <v>0</v>
      </c>
      <c r="L16" s="23">
        <f t="shared" si="0"/>
        <v>0</v>
      </c>
      <c r="M16" s="23">
        <f t="shared" si="1"/>
        <v>0</v>
      </c>
      <c r="N16" s="23">
        <f t="shared" si="2"/>
        <v>3.3333333333333333E-2</v>
      </c>
      <c r="O16" s="23">
        <f t="shared" si="3"/>
        <v>6.083333333333333</v>
      </c>
    </row>
    <row r="17" spans="1:15">
      <c r="A17" s="26">
        <v>449</v>
      </c>
      <c r="B17" s="27" t="s">
        <v>135</v>
      </c>
      <c r="C17" s="26" t="s">
        <v>5</v>
      </c>
      <c r="D17" s="21" t="s">
        <v>156</v>
      </c>
      <c r="E17" s="21" t="s">
        <v>319</v>
      </c>
      <c r="F17" s="21" t="s">
        <v>307</v>
      </c>
      <c r="G17" s="26" t="s">
        <v>291</v>
      </c>
      <c r="H17" s="31">
        <v>0</v>
      </c>
      <c r="I17" s="21"/>
      <c r="J17" s="31">
        <v>45901</v>
      </c>
      <c r="K17" s="31">
        <v>45977</v>
      </c>
      <c r="L17" s="23">
        <f t="shared" si="0"/>
        <v>0</v>
      </c>
      <c r="M17" s="23">
        <f t="shared" si="1"/>
        <v>26.316666666666666</v>
      </c>
      <c r="N17" s="23">
        <f t="shared" si="2"/>
        <v>5.083333333333333</v>
      </c>
      <c r="O17" s="23">
        <f t="shared" si="3"/>
        <v>6.1</v>
      </c>
    </row>
    <row r="18" spans="1:15">
      <c r="A18" s="26">
        <v>13</v>
      </c>
      <c r="B18" s="27" t="s">
        <v>29</v>
      </c>
      <c r="C18" s="26" t="s">
        <v>5</v>
      </c>
      <c r="D18" s="26" t="s">
        <v>156</v>
      </c>
      <c r="E18" s="26" t="s">
        <v>156</v>
      </c>
      <c r="F18" s="26" t="s">
        <v>156</v>
      </c>
      <c r="G18" s="26" t="s">
        <v>288</v>
      </c>
      <c r="H18" s="31">
        <v>0</v>
      </c>
      <c r="I18" s="21"/>
      <c r="J18" s="31">
        <v>41990</v>
      </c>
      <c r="K18" s="31">
        <v>42401</v>
      </c>
      <c r="L18" s="23">
        <f t="shared" si="0"/>
        <v>0</v>
      </c>
      <c r="M18" s="23">
        <f t="shared" si="1"/>
        <v>0</v>
      </c>
      <c r="N18" s="23">
        <f t="shared" si="2"/>
        <v>0</v>
      </c>
      <c r="O18" s="23">
        <f t="shared" si="3"/>
        <v>6.083333333333333</v>
      </c>
    </row>
    <row r="19" spans="1:15">
      <c r="A19" s="21">
        <v>259</v>
      </c>
      <c r="B19" s="16" t="s">
        <v>47</v>
      </c>
      <c r="C19" s="21" t="s">
        <v>5</v>
      </c>
      <c r="D19" s="21" t="s">
        <v>320</v>
      </c>
      <c r="E19" s="21" t="s">
        <v>156</v>
      </c>
      <c r="F19" s="21" t="s">
        <v>156</v>
      </c>
      <c r="G19" s="26" t="s">
        <v>288</v>
      </c>
      <c r="H19" s="31">
        <v>0</v>
      </c>
      <c r="I19" s="21"/>
      <c r="J19" s="31">
        <v>44871</v>
      </c>
      <c r="K19" s="31">
        <v>44911</v>
      </c>
      <c r="L19" s="23">
        <f t="shared" si="0"/>
        <v>29.533333333333335</v>
      </c>
      <c r="M19" s="23">
        <f t="shared" si="1"/>
        <v>0</v>
      </c>
      <c r="N19" s="23">
        <f t="shared" si="2"/>
        <v>0</v>
      </c>
      <c r="O19" s="23">
        <f t="shared" si="3"/>
        <v>6.083333333333333</v>
      </c>
    </row>
    <row r="20" spans="1:15">
      <c r="A20" s="26">
        <v>399</v>
      </c>
      <c r="B20" s="27" t="s">
        <v>101</v>
      </c>
      <c r="C20" s="26" t="s">
        <v>5</v>
      </c>
      <c r="D20" s="26" t="s">
        <v>156</v>
      </c>
      <c r="E20" s="26" t="s">
        <v>156</v>
      </c>
      <c r="F20" s="26" t="s">
        <v>156</v>
      </c>
      <c r="G20" s="26" t="s">
        <v>156</v>
      </c>
      <c r="H20" s="31">
        <v>0</v>
      </c>
      <c r="I20" s="21"/>
      <c r="J20" s="31">
        <v>45659</v>
      </c>
      <c r="K20" s="31">
        <v>45751</v>
      </c>
      <c r="L20" s="23">
        <f t="shared" si="0"/>
        <v>0</v>
      </c>
      <c r="M20" s="23">
        <f t="shared" si="1"/>
        <v>0</v>
      </c>
      <c r="N20" s="23">
        <f t="shared" si="2"/>
        <v>0</v>
      </c>
      <c r="O20" s="23">
        <f t="shared" si="3"/>
        <v>0</v>
      </c>
    </row>
    <row r="21" spans="1:15">
      <c r="A21" s="26">
        <v>43</v>
      </c>
      <c r="B21" s="27" t="s">
        <v>30</v>
      </c>
      <c r="C21" s="26" t="s">
        <v>5</v>
      </c>
      <c r="D21" s="26" t="s">
        <v>321</v>
      </c>
      <c r="E21" s="26" t="s">
        <v>297</v>
      </c>
      <c r="F21" s="26" t="s">
        <v>156</v>
      </c>
      <c r="G21" s="26" t="s">
        <v>278</v>
      </c>
      <c r="H21" s="31">
        <v>0</v>
      </c>
      <c r="I21" s="26"/>
      <c r="J21" s="56">
        <v>42103</v>
      </c>
      <c r="K21" s="56">
        <v>42205</v>
      </c>
      <c r="L21" s="23">
        <f t="shared" si="0"/>
        <v>13.233333333333333</v>
      </c>
      <c r="M21" s="23">
        <f t="shared" si="1"/>
        <v>18.333333333333332</v>
      </c>
      <c r="N21" s="23">
        <f t="shared" si="2"/>
        <v>0</v>
      </c>
      <c r="O21" s="23">
        <f t="shared" si="3"/>
        <v>6.05</v>
      </c>
    </row>
    <row r="22" spans="1:15">
      <c r="A22" s="26">
        <v>445</v>
      </c>
      <c r="B22" s="27" t="s">
        <v>119</v>
      </c>
      <c r="C22" s="26" t="s">
        <v>5</v>
      </c>
      <c r="D22" s="21" t="s">
        <v>322</v>
      </c>
      <c r="E22" s="21" t="s">
        <v>156</v>
      </c>
      <c r="F22" s="21" t="s">
        <v>156</v>
      </c>
      <c r="G22" s="26" t="s">
        <v>287</v>
      </c>
      <c r="H22" s="31">
        <v>0</v>
      </c>
      <c r="I22" s="21"/>
      <c r="J22" s="31">
        <v>45880</v>
      </c>
      <c r="K22" s="31">
        <v>45918</v>
      </c>
      <c r="L22" s="23">
        <f t="shared" si="0"/>
        <v>31.233333333333334</v>
      </c>
      <c r="M22" s="23">
        <f t="shared" si="1"/>
        <v>0</v>
      </c>
      <c r="N22" s="23">
        <f t="shared" si="2"/>
        <v>0</v>
      </c>
      <c r="O22" s="23">
        <f t="shared" si="3"/>
        <v>6.0666666666666664</v>
      </c>
    </row>
    <row r="23" spans="1:15">
      <c r="A23" s="26">
        <v>496</v>
      </c>
      <c r="B23" s="27" t="s">
        <v>276</v>
      </c>
      <c r="C23" s="26" t="s">
        <v>5</v>
      </c>
      <c r="D23" s="26" t="s">
        <v>296</v>
      </c>
      <c r="E23" s="26" t="s">
        <v>156</v>
      </c>
      <c r="F23" s="26" t="s">
        <v>156</v>
      </c>
      <c r="G23" s="26" t="s">
        <v>289</v>
      </c>
      <c r="H23" s="31">
        <v>0</v>
      </c>
      <c r="I23" s="26"/>
      <c r="J23" s="56">
        <v>46114</v>
      </c>
      <c r="K23" s="56">
        <v>46175</v>
      </c>
      <c r="L23" s="23">
        <f t="shared" si="0"/>
        <v>16.216666666666665</v>
      </c>
      <c r="M23" s="23">
        <f t="shared" si="1"/>
        <v>0</v>
      </c>
      <c r="N23" s="23">
        <f t="shared" si="2"/>
        <v>0</v>
      </c>
      <c r="O23" s="23">
        <f t="shared" si="3"/>
        <v>6.0166666666666666</v>
      </c>
    </row>
    <row r="24" spans="1:15">
      <c r="A24" s="26">
        <v>481</v>
      </c>
      <c r="B24" s="27" t="s">
        <v>165</v>
      </c>
      <c r="C24" s="26" t="s">
        <v>5</v>
      </c>
      <c r="D24" s="21" t="s">
        <v>323</v>
      </c>
      <c r="E24" s="21" t="s">
        <v>324</v>
      </c>
      <c r="F24" s="21" t="s">
        <v>156</v>
      </c>
      <c r="G24" s="26" t="s">
        <v>280</v>
      </c>
      <c r="H24" s="31">
        <v>0</v>
      </c>
      <c r="I24" s="21"/>
      <c r="J24" s="31">
        <v>46061</v>
      </c>
      <c r="K24" s="31">
        <v>46086</v>
      </c>
      <c r="L24" s="23">
        <f t="shared" si="0"/>
        <v>3.75</v>
      </c>
      <c r="M24" s="23">
        <f t="shared" si="1"/>
        <v>2.8333333333333335</v>
      </c>
      <c r="N24" s="23">
        <f t="shared" si="2"/>
        <v>0</v>
      </c>
      <c r="O24" s="23">
        <f t="shared" si="3"/>
        <v>6.0333333333333332</v>
      </c>
    </row>
    <row r="25" spans="1:15">
      <c r="A25" s="26">
        <v>264</v>
      </c>
      <c r="B25" s="27" t="s">
        <v>60</v>
      </c>
      <c r="C25" s="26" t="s">
        <v>5</v>
      </c>
      <c r="D25" s="26" t="s">
        <v>325</v>
      </c>
      <c r="E25" s="26" t="s">
        <v>326</v>
      </c>
      <c r="F25" s="26" t="s">
        <v>156</v>
      </c>
      <c r="G25" s="26" t="s">
        <v>291</v>
      </c>
      <c r="H25" s="31">
        <v>0</v>
      </c>
      <c r="I25" s="26"/>
      <c r="J25" s="56">
        <v>44980</v>
      </c>
      <c r="K25" s="56">
        <v>45078</v>
      </c>
      <c r="L25" s="23">
        <f t="shared" si="0"/>
        <v>15.166666666666666</v>
      </c>
      <c r="M25" s="23">
        <f t="shared" si="1"/>
        <v>9.6666666666666661</v>
      </c>
      <c r="N25" s="23">
        <f t="shared" si="2"/>
        <v>0</v>
      </c>
      <c r="O25" s="23">
        <f t="shared" si="3"/>
        <v>6.1</v>
      </c>
    </row>
    <row r="26" spans="1:15" hidden="1">
      <c r="A26" s="26">
        <v>518</v>
      </c>
      <c r="B26" s="27" t="s">
        <v>384</v>
      </c>
      <c r="C26" s="26" t="s">
        <v>27</v>
      </c>
      <c r="D26" s="26" t="s">
        <v>385</v>
      </c>
      <c r="E26" s="26" t="s">
        <v>361</v>
      </c>
      <c r="F26" s="26" t="s">
        <v>156</v>
      </c>
      <c r="G26" s="26" t="s">
        <v>287</v>
      </c>
      <c r="H26" s="31">
        <v>0</v>
      </c>
      <c r="I26" s="21"/>
      <c r="J26" s="31">
        <v>46183</v>
      </c>
      <c r="K26" s="31">
        <v>0</v>
      </c>
      <c r="L26" s="23">
        <f t="shared" si="0"/>
        <v>16.233333333333334</v>
      </c>
      <c r="M26" s="23">
        <f t="shared" si="1"/>
        <v>3.1666666666666665</v>
      </c>
      <c r="N26" s="23">
        <f t="shared" si="2"/>
        <v>0</v>
      </c>
      <c r="O26" s="23">
        <f t="shared" si="3"/>
        <v>6.0666666666666664</v>
      </c>
    </row>
    <row r="27" spans="1:15">
      <c r="A27" s="21">
        <v>346</v>
      </c>
      <c r="B27" s="16" t="s">
        <v>80</v>
      </c>
      <c r="C27" s="21" t="s">
        <v>5</v>
      </c>
      <c r="D27" s="21" t="s">
        <v>327</v>
      </c>
      <c r="E27" s="21" t="s">
        <v>328</v>
      </c>
      <c r="F27" s="21" t="s">
        <v>156</v>
      </c>
      <c r="G27" s="26" t="s">
        <v>288</v>
      </c>
      <c r="H27" s="31">
        <v>0</v>
      </c>
      <c r="I27" s="21"/>
      <c r="J27" s="31">
        <v>45433</v>
      </c>
      <c r="K27" s="31">
        <v>45512</v>
      </c>
      <c r="L27" s="23">
        <f t="shared" si="0"/>
        <v>13.55</v>
      </c>
      <c r="M27" s="23">
        <f t="shared" si="1"/>
        <v>14.216666666666667</v>
      </c>
      <c r="N27" s="23">
        <f t="shared" si="2"/>
        <v>0</v>
      </c>
      <c r="O27" s="23">
        <f t="shared" si="3"/>
        <v>6.083333333333333</v>
      </c>
    </row>
    <row r="28" spans="1:15">
      <c r="A28" s="26">
        <v>174</v>
      </c>
      <c r="B28" s="16" t="s">
        <v>31</v>
      </c>
      <c r="C28" s="26" t="s">
        <v>5</v>
      </c>
      <c r="D28" s="21" t="s">
        <v>156</v>
      </c>
      <c r="E28" s="21" t="s">
        <v>156</v>
      </c>
      <c r="F28" s="21" t="s">
        <v>156</v>
      </c>
      <c r="G28" s="21" t="s">
        <v>156</v>
      </c>
      <c r="H28" s="31">
        <v>0</v>
      </c>
      <c r="I28" s="21" t="s">
        <v>293</v>
      </c>
      <c r="J28" s="31">
        <v>43599</v>
      </c>
      <c r="K28" s="31">
        <v>44075</v>
      </c>
      <c r="L28" s="23">
        <f t="shared" si="0"/>
        <v>0</v>
      </c>
      <c r="M28" s="23">
        <f t="shared" si="1"/>
        <v>0</v>
      </c>
      <c r="N28" s="23">
        <f t="shared" si="2"/>
        <v>0</v>
      </c>
      <c r="O28" s="23">
        <f t="shared" si="3"/>
        <v>0</v>
      </c>
    </row>
    <row r="29" spans="1:15">
      <c r="A29" s="26">
        <v>506</v>
      </c>
      <c r="B29" s="27" t="s">
        <v>282</v>
      </c>
      <c r="C29" s="26" t="s">
        <v>5</v>
      </c>
      <c r="D29" s="26" t="s">
        <v>329</v>
      </c>
      <c r="E29" s="26" t="s">
        <v>156</v>
      </c>
      <c r="F29" s="26" t="s">
        <v>156</v>
      </c>
      <c r="G29" s="26" t="s">
        <v>288</v>
      </c>
      <c r="H29" s="31">
        <v>0</v>
      </c>
      <c r="I29" s="21"/>
      <c r="J29" s="31">
        <v>46143</v>
      </c>
      <c r="K29" s="31" t="s">
        <v>330</v>
      </c>
      <c r="L29" s="23">
        <f t="shared" si="0"/>
        <v>9.9499999999999993</v>
      </c>
      <c r="M29" s="23">
        <f t="shared" si="1"/>
        <v>0</v>
      </c>
      <c r="N29" s="23">
        <f t="shared" si="2"/>
        <v>0</v>
      </c>
      <c r="O29" s="23">
        <f t="shared" si="3"/>
        <v>6.083333333333333</v>
      </c>
    </row>
    <row r="30" spans="1:15">
      <c r="A30" s="26">
        <v>129</v>
      </c>
      <c r="B30" s="27" t="s">
        <v>32</v>
      </c>
      <c r="C30" s="26" t="s">
        <v>5</v>
      </c>
      <c r="D30" s="26" t="s">
        <v>156</v>
      </c>
      <c r="E30" s="26" t="s">
        <v>156</v>
      </c>
      <c r="F30" s="26" t="s">
        <v>156</v>
      </c>
      <c r="G30" s="26" t="s">
        <v>156</v>
      </c>
      <c r="H30" s="31">
        <v>0</v>
      </c>
      <c r="I30" s="21"/>
      <c r="J30" s="31">
        <v>43074</v>
      </c>
      <c r="K30" s="31">
        <v>43132</v>
      </c>
      <c r="L30" s="23">
        <f t="shared" si="0"/>
        <v>0</v>
      </c>
      <c r="M30" s="23">
        <f t="shared" si="1"/>
        <v>0</v>
      </c>
      <c r="N30" s="23">
        <f t="shared" si="2"/>
        <v>0</v>
      </c>
      <c r="O30" s="23">
        <f t="shared" si="3"/>
        <v>0</v>
      </c>
    </row>
    <row r="31" spans="1:15">
      <c r="A31" s="26">
        <v>374</v>
      </c>
      <c r="B31" s="27" t="s">
        <v>90</v>
      </c>
      <c r="C31" s="26" t="s">
        <v>5</v>
      </c>
      <c r="D31" s="26" t="s">
        <v>156</v>
      </c>
      <c r="E31" s="26" t="s">
        <v>156</v>
      </c>
      <c r="F31" s="26" t="s">
        <v>156</v>
      </c>
      <c r="G31" s="26" t="s">
        <v>278</v>
      </c>
      <c r="H31" s="31">
        <v>0</v>
      </c>
      <c r="I31" s="21"/>
      <c r="J31" s="31">
        <v>45548</v>
      </c>
      <c r="K31" s="31">
        <v>45722</v>
      </c>
      <c r="L31" s="23">
        <f t="shared" si="0"/>
        <v>0</v>
      </c>
      <c r="M31" s="23">
        <f t="shared" si="1"/>
        <v>0</v>
      </c>
      <c r="N31" s="23">
        <f t="shared" si="2"/>
        <v>0</v>
      </c>
      <c r="O31" s="23">
        <f t="shared" si="3"/>
        <v>6.05</v>
      </c>
    </row>
    <row r="32" spans="1:15">
      <c r="A32" s="26">
        <v>474</v>
      </c>
      <c r="B32" s="27" t="s">
        <v>159</v>
      </c>
      <c r="C32" s="26" t="s">
        <v>5</v>
      </c>
      <c r="D32" s="26" t="s">
        <v>326</v>
      </c>
      <c r="E32" s="26" t="s">
        <v>331</v>
      </c>
      <c r="F32" s="26" t="s">
        <v>156</v>
      </c>
      <c r="G32" s="26" t="s">
        <v>287</v>
      </c>
      <c r="H32" s="31">
        <v>0</v>
      </c>
      <c r="I32" s="26"/>
      <c r="J32" s="56">
        <v>46031</v>
      </c>
      <c r="K32" s="56">
        <v>46084</v>
      </c>
      <c r="L32" s="23">
        <f t="shared" si="0"/>
        <v>9.6666666666666661</v>
      </c>
      <c r="M32" s="23">
        <f t="shared" si="1"/>
        <v>16.683333333333334</v>
      </c>
      <c r="N32" s="23">
        <f t="shared" si="2"/>
        <v>0</v>
      </c>
      <c r="O32" s="23">
        <f t="shared" si="3"/>
        <v>6.0666666666666664</v>
      </c>
    </row>
    <row r="33" spans="1:15">
      <c r="A33" s="26">
        <v>84</v>
      </c>
      <c r="B33" s="27" t="s">
        <v>33</v>
      </c>
      <c r="C33" s="26" t="s">
        <v>5</v>
      </c>
      <c r="D33" s="26" t="s">
        <v>156</v>
      </c>
      <c r="E33" s="26" t="s">
        <v>156</v>
      </c>
      <c r="F33" s="26" t="s">
        <v>156</v>
      </c>
      <c r="G33" s="26" t="s">
        <v>156</v>
      </c>
      <c r="H33" s="31">
        <v>0</v>
      </c>
      <c r="I33" s="21"/>
      <c r="J33" s="31">
        <v>42676</v>
      </c>
      <c r="K33" s="31">
        <v>42892</v>
      </c>
      <c r="L33" s="23">
        <f t="shared" si="0"/>
        <v>0</v>
      </c>
      <c r="M33" s="23">
        <f t="shared" si="1"/>
        <v>0</v>
      </c>
      <c r="N33" s="23">
        <f t="shared" si="2"/>
        <v>0</v>
      </c>
      <c r="O33" s="23">
        <f t="shared" si="3"/>
        <v>0</v>
      </c>
    </row>
    <row r="34" spans="1:15">
      <c r="A34" s="26">
        <v>272</v>
      </c>
      <c r="B34" s="16" t="s">
        <v>62</v>
      </c>
      <c r="C34" s="21" t="s">
        <v>5</v>
      </c>
      <c r="D34" s="21" t="s">
        <v>156</v>
      </c>
      <c r="E34" s="21" t="s">
        <v>332</v>
      </c>
      <c r="F34" s="21" t="s">
        <v>333</v>
      </c>
      <c r="G34" s="26" t="s">
        <v>278</v>
      </c>
      <c r="H34" s="31">
        <v>0</v>
      </c>
      <c r="I34" s="21"/>
      <c r="J34" s="31">
        <v>45008</v>
      </c>
      <c r="K34" s="31">
        <v>45062</v>
      </c>
      <c r="L34" s="23">
        <f t="shared" si="0"/>
        <v>0</v>
      </c>
      <c r="M34" s="23">
        <f t="shared" si="1"/>
        <v>22.533333333333335</v>
      </c>
      <c r="N34" s="23">
        <f t="shared" si="2"/>
        <v>32.700000000000003</v>
      </c>
      <c r="O34" s="23">
        <f t="shared" si="3"/>
        <v>6.05</v>
      </c>
    </row>
    <row r="35" spans="1:15">
      <c r="A35" s="26">
        <v>485</v>
      </c>
      <c r="B35" s="27" t="s">
        <v>270</v>
      </c>
      <c r="C35" s="26" t="s">
        <v>5</v>
      </c>
      <c r="D35" s="26" t="s">
        <v>156</v>
      </c>
      <c r="E35" s="26" t="s">
        <v>156</v>
      </c>
      <c r="F35" s="26" t="s">
        <v>156</v>
      </c>
      <c r="G35" s="26" t="s">
        <v>287</v>
      </c>
      <c r="H35" s="31">
        <v>0</v>
      </c>
      <c r="I35" s="21"/>
      <c r="J35" s="31">
        <v>46082</v>
      </c>
      <c r="K35" s="31">
        <v>46100</v>
      </c>
      <c r="L35" s="23">
        <f t="shared" ref="L35:L66" si="4">IF(SEARCH("hs",D35)=2,VALUE(LEFT(D35,1)),VALUE(LEFT(D35,2)))+(VALUE(MID(D35,SEARCH("hs",D35)+3,SEARCH("min",D35)-(SEARCH("hs",D35)+3)))/60)</f>
        <v>0</v>
      </c>
      <c r="M35" s="23">
        <f t="shared" ref="M35:M66" si="5">IF(SEARCH("hs",E35)=2,VALUE(LEFT(E35,1)),VALUE(LEFT(E35,2)))+(VALUE(MID(E35,SEARCH("hs",E35)+3,SEARCH("min",E35)-(SEARCH("hs",E35)+3)))/60)</f>
        <v>0</v>
      </c>
      <c r="N35" s="23">
        <f t="shared" ref="N35:N66" si="6">IF(SEARCH("hs",F35)=2,VALUE(LEFT(F35,1)),VALUE(LEFT(F35,2)))+(VALUE(MID(F35,SEARCH("hs",F35)+3,SEARCH("min",F35)-(SEARCH("hs",F35)+3)))/60)</f>
        <v>0</v>
      </c>
      <c r="O35" s="23">
        <f t="shared" ref="O35:O66" si="7">IF(SEARCH("hs",G35)=2,VALUE(LEFT(G35,1)),VALUE(LEFT(G35,2)))+(VALUE(MID(G35,SEARCH("hs",G35)+3,SEARCH("min",G35)-(SEARCH("hs",G35)+3)))/60)</f>
        <v>6.0666666666666664</v>
      </c>
    </row>
    <row r="36" spans="1:15">
      <c r="A36" s="26">
        <v>511</v>
      </c>
      <c r="B36" s="27" t="s">
        <v>300</v>
      </c>
      <c r="C36" s="26" t="s">
        <v>5</v>
      </c>
      <c r="D36" s="21" t="s">
        <v>156</v>
      </c>
      <c r="E36" s="21" t="s">
        <v>156</v>
      </c>
      <c r="F36" s="21" t="s">
        <v>334</v>
      </c>
      <c r="G36" s="26" t="s">
        <v>280</v>
      </c>
      <c r="H36" s="31">
        <v>0</v>
      </c>
      <c r="I36" s="21"/>
      <c r="J36" s="31">
        <v>46154</v>
      </c>
      <c r="K36" s="31">
        <v>46183</v>
      </c>
      <c r="L36" s="23">
        <f t="shared" si="4"/>
        <v>0</v>
      </c>
      <c r="M36" s="23">
        <f t="shared" si="5"/>
        <v>0</v>
      </c>
      <c r="N36" s="23">
        <f t="shared" si="6"/>
        <v>2.0499999999999998</v>
      </c>
      <c r="O36" s="23">
        <f t="shared" si="7"/>
        <v>6.0333333333333332</v>
      </c>
    </row>
    <row r="37" spans="1:15">
      <c r="A37" s="26">
        <v>446</v>
      </c>
      <c r="B37" s="27" t="s">
        <v>120</v>
      </c>
      <c r="C37" s="26" t="s">
        <v>5</v>
      </c>
      <c r="D37" s="26" t="s">
        <v>156</v>
      </c>
      <c r="E37" s="26" t="s">
        <v>298</v>
      </c>
      <c r="F37" s="26" t="s">
        <v>156</v>
      </c>
      <c r="G37" s="26" t="s">
        <v>289</v>
      </c>
      <c r="H37" s="31">
        <v>0</v>
      </c>
      <c r="I37" s="26"/>
      <c r="J37" s="56">
        <v>45882</v>
      </c>
      <c r="K37" s="56">
        <v>45908</v>
      </c>
      <c r="L37" s="23">
        <f t="shared" si="4"/>
        <v>0</v>
      </c>
      <c r="M37" s="23">
        <f t="shared" si="5"/>
        <v>12.5</v>
      </c>
      <c r="N37" s="23">
        <f t="shared" si="6"/>
        <v>0</v>
      </c>
      <c r="O37" s="23">
        <f t="shared" si="7"/>
        <v>6.0166666666666666</v>
      </c>
    </row>
    <row r="38" spans="1:15">
      <c r="A38" s="26">
        <v>412</v>
      </c>
      <c r="B38" s="27" t="s">
        <v>107</v>
      </c>
      <c r="C38" s="26" t="s">
        <v>5</v>
      </c>
      <c r="D38" s="26" t="s">
        <v>335</v>
      </c>
      <c r="E38" s="26" t="s">
        <v>336</v>
      </c>
      <c r="F38" s="26" t="s">
        <v>156</v>
      </c>
      <c r="G38" s="26" t="s">
        <v>278</v>
      </c>
      <c r="H38" s="31">
        <v>0</v>
      </c>
      <c r="I38" s="21"/>
      <c r="J38" s="31">
        <v>45755</v>
      </c>
      <c r="K38" s="31">
        <v>45862</v>
      </c>
      <c r="L38" s="23">
        <f t="shared" si="4"/>
        <v>11.2</v>
      </c>
      <c r="M38" s="23">
        <f t="shared" si="5"/>
        <v>22.2</v>
      </c>
      <c r="N38" s="23">
        <f t="shared" si="6"/>
        <v>0</v>
      </c>
      <c r="O38" s="23">
        <f t="shared" si="7"/>
        <v>6.05</v>
      </c>
    </row>
    <row r="39" spans="1:15">
      <c r="A39" s="26">
        <v>309</v>
      </c>
      <c r="B39" s="27" t="s">
        <v>61</v>
      </c>
      <c r="C39" s="26" t="s">
        <v>5</v>
      </c>
      <c r="D39" s="26" t="s">
        <v>337</v>
      </c>
      <c r="E39" s="26" t="s">
        <v>274</v>
      </c>
      <c r="F39" s="26" t="s">
        <v>156</v>
      </c>
      <c r="G39" s="26" t="s">
        <v>287</v>
      </c>
      <c r="H39" s="31">
        <v>0</v>
      </c>
      <c r="I39" s="21"/>
      <c r="J39" s="31">
        <v>45265</v>
      </c>
      <c r="K39" s="31">
        <v>45407</v>
      </c>
      <c r="L39" s="23">
        <f t="shared" si="4"/>
        <v>10.216666666666667</v>
      </c>
      <c r="M39" s="23">
        <f t="shared" si="5"/>
        <v>15.333333333333334</v>
      </c>
      <c r="N39" s="23">
        <f t="shared" si="6"/>
        <v>0</v>
      </c>
      <c r="O39" s="23">
        <f t="shared" si="7"/>
        <v>6.0666666666666664</v>
      </c>
    </row>
    <row r="40" spans="1:15" hidden="1">
      <c r="A40" s="26">
        <v>515</v>
      </c>
      <c r="B40" s="16" t="s">
        <v>303</v>
      </c>
      <c r="C40" s="26" t="s">
        <v>27</v>
      </c>
      <c r="D40" s="21" t="s">
        <v>156</v>
      </c>
      <c r="E40" s="21" t="s">
        <v>338</v>
      </c>
      <c r="F40" s="21" t="s">
        <v>156</v>
      </c>
      <c r="G40" s="21" t="s">
        <v>287</v>
      </c>
      <c r="H40" s="31">
        <v>0</v>
      </c>
      <c r="I40" s="21"/>
      <c r="J40" s="31">
        <v>46162</v>
      </c>
      <c r="K40" s="31">
        <v>0</v>
      </c>
      <c r="L40" s="23">
        <f t="shared" si="4"/>
        <v>0</v>
      </c>
      <c r="M40" s="23">
        <f t="shared" si="5"/>
        <v>7.5666666666666664</v>
      </c>
      <c r="N40" s="23">
        <f t="shared" si="6"/>
        <v>0</v>
      </c>
      <c r="O40" s="23">
        <f t="shared" si="7"/>
        <v>6.0666666666666664</v>
      </c>
    </row>
    <row r="41" spans="1:15">
      <c r="A41" s="26">
        <v>149</v>
      </c>
      <c r="B41" s="27" t="s">
        <v>34</v>
      </c>
      <c r="C41" s="26" t="s">
        <v>5</v>
      </c>
      <c r="D41" s="26" t="s">
        <v>339</v>
      </c>
      <c r="E41" s="26" t="s">
        <v>156</v>
      </c>
      <c r="F41" s="26" t="s">
        <v>156</v>
      </c>
      <c r="G41" s="26" t="s">
        <v>156</v>
      </c>
      <c r="H41" s="31">
        <v>0</v>
      </c>
      <c r="I41" s="26"/>
      <c r="J41" s="56">
        <v>43283</v>
      </c>
      <c r="K41" s="56">
        <v>43313</v>
      </c>
      <c r="L41" s="23">
        <f t="shared" si="4"/>
        <v>25.616666666666667</v>
      </c>
      <c r="M41" s="23">
        <f t="shared" si="5"/>
        <v>0</v>
      </c>
      <c r="N41" s="23">
        <f t="shared" si="6"/>
        <v>0</v>
      </c>
      <c r="O41" s="23">
        <f t="shared" si="7"/>
        <v>0</v>
      </c>
    </row>
    <row r="42" spans="1:15">
      <c r="A42" s="26">
        <v>194</v>
      </c>
      <c r="B42" s="27" t="s">
        <v>35</v>
      </c>
      <c r="C42" s="26" t="s">
        <v>5</v>
      </c>
      <c r="D42" s="21" t="s">
        <v>340</v>
      </c>
      <c r="E42" s="21" t="s">
        <v>341</v>
      </c>
      <c r="F42" s="21" t="s">
        <v>156</v>
      </c>
      <c r="G42" s="26" t="s">
        <v>280</v>
      </c>
      <c r="H42" s="31">
        <v>0</v>
      </c>
      <c r="I42" s="21"/>
      <c r="J42" s="31">
        <v>44046</v>
      </c>
      <c r="K42" s="31">
        <v>44075</v>
      </c>
      <c r="L42" s="23">
        <f t="shared" si="4"/>
        <v>16.8</v>
      </c>
      <c r="M42" s="23">
        <f t="shared" si="5"/>
        <v>14.55</v>
      </c>
      <c r="N42" s="23">
        <f t="shared" si="6"/>
        <v>0</v>
      </c>
      <c r="O42" s="23">
        <f t="shared" si="7"/>
        <v>6.0333333333333332</v>
      </c>
    </row>
    <row r="43" spans="1:15" hidden="1">
      <c r="A43" s="26">
        <v>508</v>
      </c>
      <c r="B43" s="27" t="s">
        <v>283</v>
      </c>
      <c r="C43" s="26" t="s">
        <v>27</v>
      </c>
      <c r="D43" s="26" t="s">
        <v>156</v>
      </c>
      <c r="E43" s="26" t="s">
        <v>156</v>
      </c>
      <c r="F43" s="26" t="s">
        <v>156</v>
      </c>
      <c r="G43" s="26" t="s">
        <v>156</v>
      </c>
      <c r="H43" s="31">
        <v>46150</v>
      </c>
      <c r="I43" s="26"/>
      <c r="J43" s="56">
        <v>46144</v>
      </c>
      <c r="K43" s="56">
        <v>0</v>
      </c>
      <c r="L43" s="23">
        <f t="shared" si="4"/>
        <v>0</v>
      </c>
      <c r="M43" s="23">
        <f t="shared" si="5"/>
        <v>0</v>
      </c>
      <c r="N43" s="23">
        <f t="shared" si="6"/>
        <v>0</v>
      </c>
      <c r="O43" s="23">
        <f t="shared" si="7"/>
        <v>0</v>
      </c>
    </row>
    <row r="44" spans="1:15">
      <c r="A44" s="26">
        <v>82</v>
      </c>
      <c r="B44" s="16" t="s">
        <v>36</v>
      </c>
      <c r="C44" s="26" t="s">
        <v>5</v>
      </c>
      <c r="D44" s="21" t="s">
        <v>156</v>
      </c>
      <c r="E44" s="21" t="s">
        <v>156</v>
      </c>
      <c r="F44" s="21" t="s">
        <v>156</v>
      </c>
      <c r="G44" s="21" t="s">
        <v>289</v>
      </c>
      <c r="H44" s="31">
        <v>0</v>
      </c>
      <c r="I44" s="21"/>
      <c r="J44" s="31">
        <v>42667</v>
      </c>
      <c r="K44" s="31">
        <v>42781</v>
      </c>
      <c r="L44" s="23">
        <f t="shared" si="4"/>
        <v>0</v>
      </c>
      <c r="M44" s="23">
        <f t="shared" si="5"/>
        <v>0</v>
      </c>
      <c r="N44" s="23">
        <f t="shared" si="6"/>
        <v>0</v>
      </c>
      <c r="O44" s="23">
        <f t="shared" si="7"/>
        <v>6.0166666666666666</v>
      </c>
    </row>
    <row r="45" spans="1:15">
      <c r="A45" s="26">
        <v>510</v>
      </c>
      <c r="B45" s="27" t="s">
        <v>299</v>
      </c>
      <c r="C45" s="26" t="s">
        <v>5</v>
      </c>
      <c r="D45" s="26" t="s">
        <v>342</v>
      </c>
      <c r="E45" s="26" t="s">
        <v>343</v>
      </c>
      <c r="F45" s="26" t="s">
        <v>156</v>
      </c>
      <c r="G45" s="26" t="s">
        <v>287</v>
      </c>
      <c r="H45" s="31">
        <v>0</v>
      </c>
      <c r="I45" s="21"/>
      <c r="J45" s="31">
        <v>46148</v>
      </c>
      <c r="K45" s="31">
        <v>46163</v>
      </c>
      <c r="L45" s="23">
        <f t="shared" si="4"/>
        <v>23.166666666666668</v>
      </c>
      <c r="M45" s="23">
        <f t="shared" si="5"/>
        <v>3.6666666666666665</v>
      </c>
      <c r="N45" s="23">
        <f t="shared" si="6"/>
        <v>0</v>
      </c>
      <c r="O45" s="23">
        <f t="shared" si="7"/>
        <v>6.0666666666666664</v>
      </c>
    </row>
    <row r="46" spans="1:15">
      <c r="A46" s="26">
        <v>372</v>
      </c>
      <c r="B46" s="27" t="s">
        <v>89</v>
      </c>
      <c r="C46" s="26" t="s">
        <v>5</v>
      </c>
      <c r="D46" s="26" t="s">
        <v>156</v>
      </c>
      <c r="E46" s="26" t="s">
        <v>156</v>
      </c>
      <c r="F46" s="26" t="s">
        <v>156</v>
      </c>
      <c r="G46" s="26" t="s">
        <v>156</v>
      </c>
      <c r="H46" s="31">
        <v>0</v>
      </c>
      <c r="I46" s="21"/>
      <c r="J46" s="31">
        <v>45543</v>
      </c>
      <c r="K46" s="31">
        <v>45679</v>
      </c>
      <c r="L46" s="23">
        <f t="shared" si="4"/>
        <v>0</v>
      </c>
      <c r="M46" s="23">
        <f t="shared" si="5"/>
        <v>0</v>
      </c>
      <c r="N46" s="23">
        <f t="shared" si="6"/>
        <v>0</v>
      </c>
      <c r="O46" s="23">
        <f t="shared" si="7"/>
        <v>0</v>
      </c>
    </row>
    <row r="47" spans="1:15">
      <c r="A47" s="26">
        <v>500</v>
      </c>
      <c r="B47" s="27" t="s">
        <v>277</v>
      </c>
      <c r="C47" s="26" t="s">
        <v>5</v>
      </c>
      <c r="D47" s="21" t="s">
        <v>344</v>
      </c>
      <c r="E47" s="21" t="s">
        <v>345</v>
      </c>
      <c r="F47" s="26" t="s">
        <v>156</v>
      </c>
      <c r="G47" s="26" t="s">
        <v>287</v>
      </c>
      <c r="H47" s="31">
        <v>0</v>
      </c>
      <c r="I47" s="21"/>
      <c r="J47" s="31">
        <v>46118</v>
      </c>
      <c r="K47" s="31">
        <v>46163</v>
      </c>
      <c r="L47" s="23">
        <f t="shared" si="4"/>
        <v>15.066666666666666</v>
      </c>
      <c r="M47" s="23">
        <f t="shared" si="5"/>
        <v>13.016666666666667</v>
      </c>
      <c r="N47" s="23">
        <f t="shared" si="6"/>
        <v>0</v>
      </c>
      <c r="O47" s="23">
        <f t="shared" si="7"/>
        <v>6.0666666666666664</v>
      </c>
    </row>
    <row r="48" spans="1:15">
      <c r="A48" s="26">
        <v>336</v>
      </c>
      <c r="B48" s="27" t="s">
        <v>79</v>
      </c>
      <c r="C48" s="26" t="s">
        <v>5</v>
      </c>
      <c r="D48" s="26" t="s">
        <v>156</v>
      </c>
      <c r="E48" s="26" t="s">
        <v>156</v>
      </c>
      <c r="F48" s="26" t="s">
        <v>156</v>
      </c>
      <c r="G48" s="26" t="s">
        <v>156</v>
      </c>
      <c r="H48" s="31">
        <v>0</v>
      </c>
      <c r="I48" s="21"/>
      <c r="J48" s="31">
        <v>45418</v>
      </c>
      <c r="K48" s="31">
        <v>45566</v>
      </c>
      <c r="L48" s="23">
        <f t="shared" si="4"/>
        <v>0</v>
      </c>
      <c r="M48" s="23">
        <f t="shared" si="5"/>
        <v>0</v>
      </c>
      <c r="N48" s="23">
        <f t="shared" si="6"/>
        <v>0</v>
      </c>
      <c r="O48" s="23">
        <f t="shared" si="7"/>
        <v>0</v>
      </c>
    </row>
    <row r="49" spans="1:15">
      <c r="A49" s="26">
        <v>256</v>
      </c>
      <c r="B49" s="16" t="s">
        <v>46</v>
      </c>
      <c r="C49" s="26" t="s">
        <v>5</v>
      </c>
      <c r="D49" s="21" t="s">
        <v>346</v>
      </c>
      <c r="E49" s="21" t="s">
        <v>347</v>
      </c>
      <c r="F49" s="21" t="s">
        <v>156</v>
      </c>
      <c r="G49" s="21" t="s">
        <v>288</v>
      </c>
      <c r="H49" s="31">
        <v>0</v>
      </c>
      <c r="I49" s="21"/>
      <c r="J49" s="31">
        <v>44858</v>
      </c>
      <c r="K49" s="31">
        <v>44958</v>
      </c>
      <c r="L49" s="23">
        <f t="shared" si="4"/>
        <v>7.5</v>
      </c>
      <c r="M49" s="23">
        <f t="shared" si="5"/>
        <v>9.7166666666666668</v>
      </c>
      <c r="N49" s="23">
        <f t="shared" si="6"/>
        <v>0</v>
      </c>
      <c r="O49" s="23">
        <f t="shared" si="7"/>
        <v>6.083333333333333</v>
      </c>
    </row>
    <row r="50" spans="1:15">
      <c r="A50" s="26">
        <v>229</v>
      </c>
      <c r="B50" s="27" t="s">
        <v>44</v>
      </c>
      <c r="C50" s="26" t="s">
        <v>5</v>
      </c>
      <c r="D50" s="26" t="s">
        <v>156</v>
      </c>
      <c r="E50" s="26" t="s">
        <v>156</v>
      </c>
      <c r="F50" s="26" t="s">
        <v>156</v>
      </c>
      <c r="G50" s="26" t="s">
        <v>156</v>
      </c>
      <c r="H50" s="31">
        <v>0</v>
      </c>
      <c r="I50" s="21"/>
      <c r="J50" s="31">
        <v>44590</v>
      </c>
      <c r="K50" s="31">
        <v>44790</v>
      </c>
      <c r="L50" s="23">
        <f t="shared" si="4"/>
        <v>0</v>
      </c>
      <c r="M50" s="23">
        <f t="shared" si="5"/>
        <v>0</v>
      </c>
      <c r="N50" s="23">
        <f t="shared" si="6"/>
        <v>0</v>
      </c>
      <c r="O50" s="23">
        <f t="shared" si="7"/>
        <v>0</v>
      </c>
    </row>
    <row r="51" spans="1:15">
      <c r="A51" s="26">
        <v>398</v>
      </c>
      <c r="B51" s="27" t="s">
        <v>100</v>
      </c>
      <c r="C51" s="26" t="s">
        <v>5</v>
      </c>
      <c r="D51" s="26" t="s">
        <v>156</v>
      </c>
      <c r="E51" s="26" t="s">
        <v>156</v>
      </c>
      <c r="F51" s="26" t="s">
        <v>156</v>
      </c>
      <c r="G51" s="26" t="s">
        <v>156</v>
      </c>
      <c r="H51" s="31">
        <v>0</v>
      </c>
      <c r="I51" s="21"/>
      <c r="J51" s="31">
        <v>45667</v>
      </c>
      <c r="K51" s="31">
        <v>45736</v>
      </c>
      <c r="L51" s="23">
        <f t="shared" si="4"/>
        <v>0</v>
      </c>
      <c r="M51" s="23">
        <f t="shared" si="5"/>
        <v>0</v>
      </c>
      <c r="N51" s="23">
        <f t="shared" si="6"/>
        <v>0</v>
      </c>
      <c r="O51" s="23">
        <f t="shared" si="7"/>
        <v>0</v>
      </c>
    </row>
    <row r="52" spans="1:15">
      <c r="A52" s="26">
        <v>406</v>
      </c>
      <c r="B52" s="27" t="s">
        <v>106</v>
      </c>
      <c r="C52" s="26" t="s">
        <v>5</v>
      </c>
      <c r="D52" s="26" t="s">
        <v>156</v>
      </c>
      <c r="E52" s="26" t="s">
        <v>156</v>
      </c>
      <c r="F52" s="26" t="s">
        <v>348</v>
      </c>
      <c r="G52" s="26" t="s">
        <v>280</v>
      </c>
      <c r="H52" s="31">
        <v>0</v>
      </c>
      <c r="I52" s="21"/>
      <c r="J52" s="31">
        <v>45741</v>
      </c>
      <c r="K52" s="31">
        <v>45840</v>
      </c>
      <c r="L52" s="23">
        <f t="shared" si="4"/>
        <v>0</v>
      </c>
      <c r="M52" s="23">
        <f t="shared" si="5"/>
        <v>0</v>
      </c>
      <c r="N52" s="23">
        <f t="shared" si="6"/>
        <v>2.2999999999999998</v>
      </c>
      <c r="O52" s="23">
        <f t="shared" si="7"/>
        <v>6.0333333333333332</v>
      </c>
    </row>
    <row r="53" spans="1:15">
      <c r="A53" s="26">
        <v>187</v>
      </c>
      <c r="B53" s="27" t="s">
        <v>37</v>
      </c>
      <c r="C53" s="26" t="s">
        <v>5</v>
      </c>
      <c r="D53" s="26" t="s">
        <v>349</v>
      </c>
      <c r="E53" s="26" t="s">
        <v>350</v>
      </c>
      <c r="F53" s="26" t="s">
        <v>156</v>
      </c>
      <c r="G53" s="26" t="s">
        <v>289</v>
      </c>
      <c r="H53" s="31">
        <v>0</v>
      </c>
      <c r="I53" s="21"/>
      <c r="J53" s="31">
        <v>43770</v>
      </c>
      <c r="K53" s="31">
        <v>44075</v>
      </c>
      <c r="L53" s="23">
        <f t="shared" si="4"/>
        <v>16.166666666666668</v>
      </c>
      <c r="M53" s="23">
        <f t="shared" si="5"/>
        <v>10.5</v>
      </c>
      <c r="N53" s="23">
        <f t="shared" si="6"/>
        <v>0</v>
      </c>
      <c r="O53" s="23">
        <f t="shared" si="7"/>
        <v>6.0166666666666666</v>
      </c>
    </row>
    <row r="54" spans="1:15">
      <c r="A54" s="16">
        <v>321</v>
      </c>
      <c r="B54" s="16" t="s">
        <v>77</v>
      </c>
      <c r="C54" s="21" t="s">
        <v>5</v>
      </c>
      <c r="D54" s="21" t="s">
        <v>351</v>
      </c>
      <c r="E54" s="21" t="s">
        <v>352</v>
      </c>
      <c r="F54" s="21" t="s">
        <v>156</v>
      </c>
      <c r="G54" s="26" t="s">
        <v>289</v>
      </c>
      <c r="H54" s="31">
        <v>0</v>
      </c>
      <c r="I54" s="21"/>
      <c r="J54" s="31">
        <v>45340</v>
      </c>
      <c r="K54" s="31">
        <v>45435</v>
      </c>
      <c r="L54" s="23">
        <f t="shared" si="4"/>
        <v>29.583333333333332</v>
      </c>
      <c r="M54" s="23">
        <f t="shared" si="5"/>
        <v>1.6666666666666665</v>
      </c>
      <c r="N54" s="23">
        <f t="shared" si="6"/>
        <v>0</v>
      </c>
      <c r="O54" s="23">
        <f t="shared" si="7"/>
        <v>6.0166666666666666</v>
      </c>
    </row>
    <row r="55" spans="1:15" hidden="1">
      <c r="A55" s="26">
        <v>523</v>
      </c>
      <c r="B55" s="27" t="s">
        <v>396</v>
      </c>
      <c r="C55" s="26" t="s">
        <v>27</v>
      </c>
      <c r="D55" s="26" t="s">
        <v>397</v>
      </c>
      <c r="E55" s="26" t="s">
        <v>398</v>
      </c>
      <c r="F55" s="26" t="s">
        <v>156</v>
      </c>
      <c r="G55" s="26" t="s">
        <v>289</v>
      </c>
      <c r="H55" s="31">
        <v>0</v>
      </c>
      <c r="I55" s="21"/>
      <c r="J55" s="31">
        <v>46192</v>
      </c>
      <c r="K55" s="31">
        <v>0</v>
      </c>
      <c r="L55" s="23">
        <f t="shared" si="4"/>
        <v>7.666666666666667</v>
      </c>
      <c r="M55" s="23">
        <f t="shared" si="5"/>
        <v>5.833333333333333</v>
      </c>
      <c r="N55" s="23">
        <f t="shared" si="6"/>
        <v>0</v>
      </c>
      <c r="O55" s="23">
        <f t="shared" si="7"/>
        <v>6.0166666666666666</v>
      </c>
    </row>
    <row r="56" spans="1:15">
      <c r="A56" s="26">
        <v>311</v>
      </c>
      <c r="B56" s="27" t="s">
        <v>75</v>
      </c>
      <c r="C56" s="26" t="s">
        <v>5</v>
      </c>
      <c r="D56" s="26" t="s">
        <v>156</v>
      </c>
      <c r="E56" s="26" t="s">
        <v>353</v>
      </c>
      <c r="F56" s="26" t="s">
        <v>354</v>
      </c>
      <c r="G56" s="26" t="s">
        <v>289</v>
      </c>
      <c r="H56" s="31">
        <v>0</v>
      </c>
      <c r="I56" s="21"/>
      <c r="J56" s="31">
        <v>45292</v>
      </c>
      <c r="K56" s="31">
        <v>45446</v>
      </c>
      <c r="L56" s="23">
        <f t="shared" si="4"/>
        <v>0</v>
      </c>
      <c r="M56" s="23">
        <f t="shared" si="5"/>
        <v>11.566666666666666</v>
      </c>
      <c r="N56" s="23">
        <f t="shared" si="6"/>
        <v>6.9</v>
      </c>
      <c r="O56" s="23">
        <f t="shared" si="7"/>
        <v>6.0166666666666666</v>
      </c>
    </row>
    <row r="57" spans="1:15">
      <c r="A57" s="26">
        <v>369</v>
      </c>
      <c r="B57" s="27" t="s">
        <v>87</v>
      </c>
      <c r="C57" s="26" t="s">
        <v>5</v>
      </c>
      <c r="D57" s="26" t="s">
        <v>156</v>
      </c>
      <c r="E57" s="26" t="s">
        <v>156</v>
      </c>
      <c r="F57" s="26" t="s">
        <v>156</v>
      </c>
      <c r="G57" s="26" t="s">
        <v>156</v>
      </c>
      <c r="H57" s="31">
        <v>0</v>
      </c>
      <c r="I57" s="21"/>
      <c r="J57" s="31">
        <v>45540</v>
      </c>
      <c r="K57" s="31">
        <v>45736</v>
      </c>
      <c r="L57" s="23">
        <f t="shared" si="4"/>
        <v>0</v>
      </c>
      <c r="M57" s="23">
        <f t="shared" si="5"/>
        <v>0</v>
      </c>
      <c r="N57" s="23">
        <f t="shared" si="6"/>
        <v>0</v>
      </c>
      <c r="O57" s="23">
        <f t="shared" si="7"/>
        <v>0</v>
      </c>
    </row>
    <row r="58" spans="1:15">
      <c r="A58" s="26">
        <v>101</v>
      </c>
      <c r="B58" s="27" t="s">
        <v>38</v>
      </c>
      <c r="C58" s="26" t="s">
        <v>5</v>
      </c>
      <c r="D58" s="26" t="s">
        <v>156</v>
      </c>
      <c r="E58" s="26" t="s">
        <v>156</v>
      </c>
      <c r="F58" s="26" t="s">
        <v>156</v>
      </c>
      <c r="G58" s="26" t="s">
        <v>156</v>
      </c>
      <c r="H58" s="31">
        <v>0</v>
      </c>
      <c r="I58" s="21"/>
      <c r="J58" s="31">
        <v>41990</v>
      </c>
      <c r="K58" s="31">
        <v>42644</v>
      </c>
      <c r="L58" s="23">
        <f t="shared" si="4"/>
        <v>0</v>
      </c>
      <c r="M58" s="23">
        <f t="shared" si="5"/>
        <v>0</v>
      </c>
      <c r="N58" s="23">
        <f t="shared" si="6"/>
        <v>0</v>
      </c>
      <c r="O58" s="23">
        <f t="shared" si="7"/>
        <v>0</v>
      </c>
    </row>
    <row r="59" spans="1:15">
      <c r="A59" s="26">
        <v>266</v>
      </c>
      <c r="B59" s="27" t="s">
        <v>59</v>
      </c>
      <c r="C59" s="26" t="s">
        <v>5</v>
      </c>
      <c r="D59" s="26" t="s">
        <v>156</v>
      </c>
      <c r="E59" s="26" t="s">
        <v>156</v>
      </c>
      <c r="F59" s="26" t="s">
        <v>156</v>
      </c>
      <c r="G59" s="26" t="s">
        <v>156</v>
      </c>
      <c r="H59" s="31">
        <v>0</v>
      </c>
      <c r="I59" s="21"/>
      <c r="J59" s="31">
        <v>44977</v>
      </c>
      <c r="K59" s="31">
        <v>45062</v>
      </c>
      <c r="L59" s="23">
        <f t="shared" si="4"/>
        <v>0</v>
      </c>
      <c r="M59" s="23">
        <f t="shared" si="5"/>
        <v>0</v>
      </c>
      <c r="N59" s="23">
        <f t="shared" si="6"/>
        <v>0</v>
      </c>
      <c r="O59" s="23">
        <f t="shared" si="7"/>
        <v>0</v>
      </c>
    </row>
    <row r="60" spans="1:15">
      <c r="A60" s="26">
        <v>478</v>
      </c>
      <c r="B60" s="27" t="s">
        <v>162</v>
      </c>
      <c r="C60" s="21" t="s">
        <v>5</v>
      </c>
      <c r="D60" s="26" t="s">
        <v>355</v>
      </c>
      <c r="E60" s="26" t="s">
        <v>356</v>
      </c>
      <c r="F60" s="26" t="s">
        <v>156</v>
      </c>
      <c r="G60" s="26" t="s">
        <v>280</v>
      </c>
      <c r="H60" s="31">
        <v>0</v>
      </c>
      <c r="I60" s="21"/>
      <c r="J60" s="31">
        <v>46050</v>
      </c>
      <c r="K60" s="31">
        <v>46163</v>
      </c>
      <c r="L60" s="23">
        <f t="shared" si="4"/>
        <v>11.55</v>
      </c>
      <c r="M60" s="23">
        <f t="shared" si="5"/>
        <v>10.466666666666667</v>
      </c>
      <c r="N60" s="23">
        <f t="shared" si="6"/>
        <v>0</v>
      </c>
      <c r="O60" s="23">
        <f t="shared" si="7"/>
        <v>6.0333333333333332</v>
      </c>
    </row>
    <row r="61" spans="1:15" hidden="1">
      <c r="A61" s="26">
        <v>519</v>
      </c>
      <c r="B61" s="27" t="s">
        <v>386</v>
      </c>
      <c r="C61" s="26" t="s">
        <v>27</v>
      </c>
      <c r="D61" s="26" t="s">
        <v>387</v>
      </c>
      <c r="E61" s="26" t="s">
        <v>388</v>
      </c>
      <c r="F61" s="26" t="s">
        <v>156</v>
      </c>
      <c r="G61" s="26" t="s">
        <v>289</v>
      </c>
      <c r="H61" s="31">
        <v>0</v>
      </c>
      <c r="I61" s="21"/>
      <c r="J61" s="31">
        <v>46188</v>
      </c>
      <c r="K61" s="31">
        <v>0</v>
      </c>
      <c r="L61" s="23">
        <f t="shared" si="4"/>
        <v>12.216666666666667</v>
      </c>
      <c r="M61" s="23">
        <f t="shared" si="5"/>
        <v>5.4833333333333334</v>
      </c>
      <c r="N61" s="23">
        <f t="shared" si="6"/>
        <v>0</v>
      </c>
      <c r="O61" s="23">
        <f t="shared" si="7"/>
        <v>6.0166666666666666</v>
      </c>
    </row>
    <row r="62" spans="1:15" hidden="1">
      <c r="A62" s="26">
        <v>522</v>
      </c>
      <c r="B62" s="27" t="s">
        <v>394</v>
      </c>
      <c r="C62" s="26" t="s">
        <v>27</v>
      </c>
      <c r="D62" s="26" t="s">
        <v>294</v>
      </c>
      <c r="E62" s="26" t="s">
        <v>395</v>
      </c>
      <c r="F62" s="26" t="s">
        <v>156</v>
      </c>
      <c r="G62" s="26" t="s">
        <v>291</v>
      </c>
      <c r="H62" s="31">
        <v>0</v>
      </c>
      <c r="I62" s="21"/>
      <c r="J62" s="31">
        <v>46192</v>
      </c>
      <c r="K62" s="31">
        <v>0</v>
      </c>
      <c r="L62" s="23">
        <f t="shared" si="4"/>
        <v>7</v>
      </c>
      <c r="M62" s="23">
        <f t="shared" si="5"/>
        <v>3.2666666666666666</v>
      </c>
      <c r="N62" s="23">
        <f t="shared" si="6"/>
        <v>0</v>
      </c>
      <c r="O62" s="23">
        <f t="shared" si="7"/>
        <v>6.1</v>
      </c>
    </row>
    <row r="63" spans="1:15">
      <c r="A63" s="26">
        <v>253</v>
      </c>
      <c r="B63" s="27" t="s">
        <v>45</v>
      </c>
      <c r="C63" s="26" t="s">
        <v>5</v>
      </c>
      <c r="D63" s="26" t="s">
        <v>156</v>
      </c>
      <c r="E63" s="26" t="s">
        <v>156</v>
      </c>
      <c r="F63" s="26" t="s">
        <v>357</v>
      </c>
      <c r="G63" s="26" t="s">
        <v>287</v>
      </c>
      <c r="H63" s="31">
        <v>0</v>
      </c>
      <c r="I63" s="26"/>
      <c r="J63" s="56">
        <v>44818</v>
      </c>
      <c r="K63" s="56">
        <v>44866</v>
      </c>
      <c r="L63" s="23">
        <f t="shared" si="4"/>
        <v>0</v>
      </c>
      <c r="M63" s="23">
        <f t="shared" si="5"/>
        <v>0</v>
      </c>
      <c r="N63" s="23">
        <f t="shared" si="6"/>
        <v>37.916666666666664</v>
      </c>
      <c r="O63" s="23">
        <f t="shared" si="7"/>
        <v>6.0666666666666664</v>
      </c>
    </row>
    <row r="64" spans="1:15" hidden="1">
      <c r="A64" s="26">
        <v>521</v>
      </c>
      <c r="B64" s="16" t="s">
        <v>392</v>
      </c>
      <c r="C64" s="26" t="s">
        <v>27</v>
      </c>
      <c r="D64" s="21" t="s">
        <v>156</v>
      </c>
      <c r="E64" s="21" t="s">
        <v>156</v>
      </c>
      <c r="F64" s="21" t="s">
        <v>393</v>
      </c>
      <c r="G64" s="21" t="s">
        <v>280</v>
      </c>
      <c r="H64" s="31">
        <v>0</v>
      </c>
      <c r="I64" s="21"/>
      <c r="J64" s="31">
        <v>46190</v>
      </c>
      <c r="K64" s="31">
        <v>0</v>
      </c>
      <c r="L64" s="23">
        <f t="shared" si="4"/>
        <v>0</v>
      </c>
      <c r="M64" s="23">
        <f t="shared" si="5"/>
        <v>0</v>
      </c>
      <c r="N64" s="23">
        <f t="shared" si="6"/>
        <v>1.2666666666666666</v>
      </c>
      <c r="O64" s="23">
        <f t="shared" si="7"/>
        <v>6.0333333333333332</v>
      </c>
    </row>
    <row r="65" spans="1:15">
      <c r="A65" s="26">
        <v>464</v>
      </c>
      <c r="B65" s="16" t="s">
        <v>148</v>
      </c>
      <c r="C65" s="26" t="s">
        <v>5</v>
      </c>
      <c r="D65" s="21" t="s">
        <v>156</v>
      </c>
      <c r="E65" s="21" t="s">
        <v>156</v>
      </c>
      <c r="F65" s="21" t="s">
        <v>358</v>
      </c>
      <c r="G65" s="21" t="s">
        <v>280</v>
      </c>
      <c r="H65" s="31">
        <v>0</v>
      </c>
      <c r="I65" s="21"/>
      <c r="J65" s="31">
        <v>45963</v>
      </c>
      <c r="K65" s="31">
        <v>46055</v>
      </c>
      <c r="L65" s="23">
        <f t="shared" si="4"/>
        <v>0</v>
      </c>
      <c r="M65" s="23">
        <f t="shared" si="5"/>
        <v>0</v>
      </c>
      <c r="N65" s="23">
        <f t="shared" si="6"/>
        <v>25.75</v>
      </c>
      <c r="O65" s="23">
        <f t="shared" si="7"/>
        <v>6.0333333333333332</v>
      </c>
    </row>
    <row r="66" spans="1:15">
      <c r="A66" s="26">
        <v>331</v>
      </c>
      <c r="B66" s="16" t="s">
        <v>78</v>
      </c>
      <c r="C66" s="26" t="s">
        <v>5</v>
      </c>
      <c r="D66" s="21" t="s">
        <v>156</v>
      </c>
      <c r="E66" s="21" t="s">
        <v>156</v>
      </c>
      <c r="F66" s="21" t="s">
        <v>156</v>
      </c>
      <c r="G66" s="21" t="s">
        <v>156</v>
      </c>
      <c r="H66" s="31">
        <v>0</v>
      </c>
      <c r="I66" s="21" t="s">
        <v>293</v>
      </c>
      <c r="J66" s="31">
        <v>45412</v>
      </c>
      <c r="K66" s="31">
        <v>45446</v>
      </c>
      <c r="L66" s="23">
        <f t="shared" si="4"/>
        <v>0</v>
      </c>
      <c r="M66" s="23">
        <f t="shared" si="5"/>
        <v>0</v>
      </c>
      <c r="N66" s="23">
        <f t="shared" si="6"/>
        <v>0</v>
      </c>
      <c r="O66" s="23">
        <f t="shared" si="7"/>
        <v>0</v>
      </c>
    </row>
    <row r="67" spans="1:15">
      <c r="A67" s="26">
        <v>92</v>
      </c>
      <c r="B67" s="27" t="s">
        <v>39</v>
      </c>
      <c r="C67" s="26" t="s">
        <v>5</v>
      </c>
      <c r="D67" s="26" t="s">
        <v>156</v>
      </c>
      <c r="E67" s="26" t="s">
        <v>156</v>
      </c>
      <c r="F67" s="26" t="s">
        <v>359</v>
      </c>
      <c r="G67" s="26" t="s">
        <v>287</v>
      </c>
      <c r="H67" s="31">
        <v>0</v>
      </c>
      <c r="I67" s="21"/>
      <c r="J67" s="31">
        <v>42762</v>
      </c>
      <c r="K67" s="31">
        <v>42887</v>
      </c>
      <c r="L67" s="23">
        <f t="shared" ref="L67:L100" si="8">IF(SEARCH("hs",D67)=2,VALUE(LEFT(D67,1)),VALUE(LEFT(D67,2)))+(VALUE(MID(D67,SEARCH("hs",D67)+3,SEARCH("min",D67)-(SEARCH("hs",D67)+3)))/60)</f>
        <v>0</v>
      </c>
      <c r="M67" s="23">
        <f t="shared" ref="M67:M100" si="9">IF(SEARCH("hs",E67)=2,VALUE(LEFT(E67,1)),VALUE(LEFT(E67,2)))+(VALUE(MID(E67,SEARCH("hs",E67)+3,SEARCH("min",E67)-(SEARCH("hs",E67)+3)))/60)</f>
        <v>0</v>
      </c>
      <c r="N67" s="23">
        <f t="shared" ref="N67:N100" si="10">IF(SEARCH("hs",F67)=2,VALUE(LEFT(F67,1)),VALUE(LEFT(F67,2)))+(VALUE(MID(F67,SEARCH("hs",F67)+3,SEARCH("min",F67)-(SEARCH("hs",F67)+3)))/60)</f>
        <v>27.166666666666668</v>
      </c>
      <c r="O67" s="23">
        <f t="shared" ref="O67:O100" si="11">IF(SEARCH("hs",G67)=2,VALUE(LEFT(G67,1)),VALUE(LEFT(G67,2)))+(VALUE(MID(G67,SEARCH("hs",G67)+3,SEARCH("min",G67)-(SEARCH("hs",G67)+3)))/60)</f>
        <v>6.0666666666666664</v>
      </c>
    </row>
    <row r="68" spans="1:15">
      <c r="A68" s="26">
        <v>451</v>
      </c>
      <c r="B68" s="27" t="s">
        <v>137</v>
      </c>
      <c r="C68" s="26" t="s">
        <v>5</v>
      </c>
      <c r="D68" s="26" t="s">
        <v>360</v>
      </c>
      <c r="E68" s="26" t="s">
        <v>295</v>
      </c>
      <c r="F68" s="26" t="s">
        <v>156</v>
      </c>
      <c r="G68" s="26" t="s">
        <v>287</v>
      </c>
      <c r="H68" s="31">
        <v>0</v>
      </c>
      <c r="I68" s="21"/>
      <c r="J68" s="31">
        <v>45913</v>
      </c>
      <c r="K68" s="31">
        <v>45977</v>
      </c>
      <c r="L68" s="23">
        <f t="shared" si="8"/>
        <v>11.233333333333333</v>
      </c>
      <c r="M68" s="23">
        <f t="shared" si="9"/>
        <v>20.416666666666668</v>
      </c>
      <c r="N68" s="23">
        <f t="shared" si="10"/>
        <v>0</v>
      </c>
      <c r="O68" s="23">
        <f t="shared" si="11"/>
        <v>6.0666666666666664</v>
      </c>
    </row>
    <row r="69" spans="1:15">
      <c r="A69" s="26">
        <v>183</v>
      </c>
      <c r="B69" s="27" t="s">
        <v>40</v>
      </c>
      <c r="C69" s="26" t="s">
        <v>5</v>
      </c>
      <c r="D69" s="21" t="s">
        <v>361</v>
      </c>
      <c r="E69" s="21" t="s">
        <v>362</v>
      </c>
      <c r="F69" s="21" t="s">
        <v>156</v>
      </c>
      <c r="G69" s="26" t="s">
        <v>288</v>
      </c>
      <c r="H69" s="31">
        <v>0</v>
      </c>
      <c r="I69" s="21"/>
      <c r="J69" s="31">
        <v>43769</v>
      </c>
      <c r="K69" s="31">
        <v>43862</v>
      </c>
      <c r="L69" s="23">
        <f t="shared" si="8"/>
        <v>3.1666666666666665</v>
      </c>
      <c r="M69" s="23">
        <f t="shared" si="9"/>
        <v>0.75</v>
      </c>
      <c r="N69" s="23">
        <f t="shared" si="10"/>
        <v>0</v>
      </c>
      <c r="O69" s="23">
        <f t="shared" si="11"/>
        <v>6.083333333333333</v>
      </c>
    </row>
    <row r="70" spans="1:15">
      <c r="A70" s="26">
        <v>447</v>
      </c>
      <c r="B70" s="27" t="s">
        <v>121</v>
      </c>
      <c r="C70" s="26" t="s">
        <v>5</v>
      </c>
      <c r="D70" s="26" t="s">
        <v>363</v>
      </c>
      <c r="E70" s="26" t="s">
        <v>364</v>
      </c>
      <c r="F70" s="26" t="s">
        <v>156</v>
      </c>
      <c r="G70" s="26" t="s">
        <v>289</v>
      </c>
      <c r="H70" s="31">
        <v>0</v>
      </c>
      <c r="I70" s="21"/>
      <c r="J70" s="31">
        <v>45876</v>
      </c>
      <c r="K70" s="31">
        <v>46055</v>
      </c>
      <c r="L70" s="23">
        <f t="shared" si="8"/>
        <v>10.15</v>
      </c>
      <c r="M70" s="23">
        <f t="shared" si="9"/>
        <v>19.316666666666666</v>
      </c>
      <c r="N70" s="23">
        <f t="shared" si="10"/>
        <v>0</v>
      </c>
      <c r="O70" s="23">
        <f t="shared" si="11"/>
        <v>6.0166666666666666</v>
      </c>
    </row>
    <row r="71" spans="1:15">
      <c r="A71" s="26">
        <v>483</v>
      </c>
      <c r="B71" s="27" t="s">
        <v>167</v>
      </c>
      <c r="C71" s="26" t="s">
        <v>5</v>
      </c>
      <c r="D71" s="26" t="s">
        <v>156</v>
      </c>
      <c r="E71" s="26" t="s">
        <v>156</v>
      </c>
      <c r="F71" s="26" t="s">
        <v>156</v>
      </c>
      <c r="G71" s="26" t="s">
        <v>288</v>
      </c>
      <c r="H71" s="31">
        <v>0</v>
      </c>
      <c r="I71" s="21"/>
      <c r="J71" s="31">
        <v>46066</v>
      </c>
      <c r="K71" s="31">
        <v>46088</v>
      </c>
      <c r="L71" s="23">
        <f t="shared" si="8"/>
        <v>0</v>
      </c>
      <c r="M71" s="23">
        <f t="shared" si="9"/>
        <v>0</v>
      </c>
      <c r="N71" s="23">
        <f t="shared" si="10"/>
        <v>0</v>
      </c>
      <c r="O71" s="23">
        <f t="shared" si="11"/>
        <v>6.083333333333333</v>
      </c>
    </row>
    <row r="72" spans="1:15">
      <c r="A72" s="26">
        <v>220</v>
      </c>
      <c r="B72" s="27" t="s">
        <v>41</v>
      </c>
      <c r="C72" s="26" t="s">
        <v>5</v>
      </c>
      <c r="D72" s="26" t="s">
        <v>156</v>
      </c>
      <c r="E72" s="26" t="s">
        <v>365</v>
      </c>
      <c r="F72" s="26" t="s">
        <v>156</v>
      </c>
      <c r="G72" s="26" t="s">
        <v>289</v>
      </c>
      <c r="H72" s="31">
        <v>0</v>
      </c>
      <c r="I72" s="21"/>
      <c r="J72" s="31">
        <v>44490</v>
      </c>
      <c r="K72" s="31">
        <v>44652</v>
      </c>
      <c r="L72" s="23">
        <f t="shared" si="8"/>
        <v>0</v>
      </c>
      <c r="M72" s="23">
        <f t="shared" si="9"/>
        <v>28.516666666666666</v>
      </c>
      <c r="N72" s="23">
        <f t="shared" si="10"/>
        <v>0</v>
      </c>
      <c r="O72" s="23">
        <f t="shared" si="11"/>
        <v>6.0166666666666666</v>
      </c>
    </row>
    <row r="73" spans="1:15">
      <c r="A73" s="26">
        <v>427</v>
      </c>
      <c r="B73" s="27" t="s">
        <v>109</v>
      </c>
      <c r="C73" s="26" t="s">
        <v>5</v>
      </c>
      <c r="D73" s="26" t="s">
        <v>366</v>
      </c>
      <c r="E73" s="26" t="s">
        <v>367</v>
      </c>
      <c r="F73" s="26" t="s">
        <v>156</v>
      </c>
      <c r="G73" s="26" t="s">
        <v>280</v>
      </c>
      <c r="H73" s="31">
        <v>0</v>
      </c>
      <c r="I73" s="21"/>
      <c r="J73" s="31">
        <v>45783</v>
      </c>
      <c r="K73" s="31">
        <v>45840</v>
      </c>
      <c r="L73" s="23">
        <f t="shared" si="8"/>
        <v>10.166666666666666</v>
      </c>
      <c r="M73" s="23">
        <f t="shared" si="9"/>
        <v>14.316666666666666</v>
      </c>
      <c r="N73" s="23">
        <f t="shared" si="10"/>
        <v>0</v>
      </c>
      <c r="O73" s="23">
        <f t="shared" si="11"/>
        <v>6.0333333333333332</v>
      </c>
    </row>
    <row r="74" spans="1:15" hidden="1">
      <c r="A74" s="26">
        <v>516</v>
      </c>
      <c r="B74" s="27" t="s">
        <v>304</v>
      </c>
      <c r="C74" s="26" t="s">
        <v>27</v>
      </c>
      <c r="D74" s="26" t="s">
        <v>156</v>
      </c>
      <c r="E74" s="26" t="s">
        <v>156</v>
      </c>
      <c r="F74" s="26" t="s">
        <v>368</v>
      </c>
      <c r="G74" s="26" t="s">
        <v>280</v>
      </c>
      <c r="H74" s="31">
        <v>0</v>
      </c>
      <c r="I74" s="21"/>
      <c r="J74" s="31">
        <v>46167</v>
      </c>
      <c r="K74" s="31">
        <v>0</v>
      </c>
      <c r="L74" s="23">
        <f t="shared" si="8"/>
        <v>0</v>
      </c>
      <c r="M74" s="23">
        <f t="shared" si="9"/>
        <v>0</v>
      </c>
      <c r="N74" s="23">
        <f t="shared" si="10"/>
        <v>10.416666666666666</v>
      </c>
      <c r="O74" s="23">
        <f t="shared" si="11"/>
        <v>6.0333333333333332</v>
      </c>
    </row>
    <row r="75" spans="1:15">
      <c r="A75" s="26">
        <v>203</v>
      </c>
      <c r="B75" s="27" t="s">
        <v>42</v>
      </c>
      <c r="C75" s="26" t="s">
        <v>5</v>
      </c>
      <c r="D75" s="26" t="s">
        <v>156</v>
      </c>
      <c r="E75" s="26" t="s">
        <v>369</v>
      </c>
      <c r="F75" s="26" t="s">
        <v>156</v>
      </c>
      <c r="G75" s="26" t="s">
        <v>287</v>
      </c>
      <c r="H75" s="31">
        <v>0</v>
      </c>
      <c r="I75" s="21"/>
      <c r="J75" s="31">
        <v>44147</v>
      </c>
      <c r="K75" s="31">
        <v>44348</v>
      </c>
      <c r="L75" s="23">
        <f t="shared" si="8"/>
        <v>0</v>
      </c>
      <c r="M75" s="23">
        <f t="shared" si="9"/>
        <v>9.6333333333333329</v>
      </c>
      <c r="N75" s="23">
        <f t="shared" si="10"/>
        <v>0</v>
      </c>
      <c r="O75" s="23">
        <f t="shared" si="11"/>
        <v>6.0666666666666664</v>
      </c>
    </row>
    <row r="76" spans="1:15">
      <c r="A76" s="26">
        <v>514</v>
      </c>
      <c r="B76" s="16" t="s">
        <v>302</v>
      </c>
      <c r="C76" s="26" t="s">
        <v>5</v>
      </c>
      <c r="D76" s="21" t="s">
        <v>370</v>
      </c>
      <c r="E76" s="21" t="s">
        <v>371</v>
      </c>
      <c r="F76" s="21" t="s">
        <v>156</v>
      </c>
      <c r="G76" s="21" t="s">
        <v>289</v>
      </c>
      <c r="H76" s="31">
        <v>0</v>
      </c>
      <c r="I76" s="21"/>
      <c r="J76" s="31">
        <v>46161</v>
      </c>
      <c r="K76" s="31">
        <v>46183</v>
      </c>
      <c r="L76" s="23">
        <f t="shared" si="8"/>
        <v>18.216666666666665</v>
      </c>
      <c r="M76" s="23">
        <f t="shared" si="9"/>
        <v>5.1333333333333337</v>
      </c>
      <c r="N76" s="23">
        <f t="shared" si="10"/>
        <v>0</v>
      </c>
      <c r="O76" s="23">
        <f t="shared" si="11"/>
        <v>6.0166666666666666</v>
      </c>
    </row>
    <row r="77" spans="1:15">
      <c r="A77" s="26">
        <v>502</v>
      </c>
      <c r="B77" s="27" t="s">
        <v>279</v>
      </c>
      <c r="C77" s="26" t="s">
        <v>5</v>
      </c>
      <c r="D77" s="26" t="s">
        <v>292</v>
      </c>
      <c r="E77" s="26" t="s">
        <v>372</v>
      </c>
      <c r="F77" s="26" t="s">
        <v>156</v>
      </c>
      <c r="G77" s="26" t="s">
        <v>287</v>
      </c>
      <c r="H77" s="31">
        <v>0</v>
      </c>
      <c r="I77" s="21"/>
      <c r="J77" s="31">
        <v>46132</v>
      </c>
      <c r="K77" s="31">
        <v>46163</v>
      </c>
      <c r="L77" s="23">
        <f t="shared" si="8"/>
        <v>11.216666666666667</v>
      </c>
      <c r="M77" s="23">
        <f t="shared" si="9"/>
        <v>11.783333333333333</v>
      </c>
      <c r="N77" s="23">
        <f t="shared" si="10"/>
        <v>0</v>
      </c>
      <c r="O77" s="23">
        <f t="shared" si="11"/>
        <v>6.0666666666666664</v>
      </c>
    </row>
    <row r="78" spans="1:15">
      <c r="A78" s="21">
        <v>356</v>
      </c>
      <c r="B78" s="16" t="s">
        <v>82</v>
      </c>
      <c r="C78" s="26" t="s">
        <v>5</v>
      </c>
      <c r="D78" s="21" t="s">
        <v>373</v>
      </c>
      <c r="E78" s="21" t="s">
        <v>374</v>
      </c>
      <c r="F78" s="21" t="s">
        <v>156</v>
      </c>
      <c r="G78" s="26" t="s">
        <v>280</v>
      </c>
      <c r="H78" s="31">
        <v>0</v>
      </c>
      <c r="I78" s="21" t="s">
        <v>402</v>
      </c>
      <c r="J78" s="31">
        <v>45469</v>
      </c>
      <c r="K78" s="31">
        <v>45566</v>
      </c>
      <c r="L78" s="23">
        <f t="shared" si="8"/>
        <v>19.233333333333334</v>
      </c>
      <c r="M78" s="23">
        <f t="shared" si="9"/>
        <v>2.4166666666666665</v>
      </c>
      <c r="N78" s="23">
        <f t="shared" si="10"/>
        <v>0</v>
      </c>
      <c r="O78" s="23">
        <f t="shared" si="11"/>
        <v>6.0333333333333332</v>
      </c>
    </row>
    <row r="79" spans="1:15">
      <c r="A79" s="26">
        <v>487</v>
      </c>
      <c r="B79" s="27" t="s">
        <v>271</v>
      </c>
      <c r="C79" s="26" t="s">
        <v>5</v>
      </c>
      <c r="D79" s="26" t="s">
        <v>375</v>
      </c>
      <c r="E79" s="26" t="s">
        <v>376</v>
      </c>
      <c r="F79" s="26" t="s">
        <v>156</v>
      </c>
      <c r="G79" s="26" t="s">
        <v>291</v>
      </c>
      <c r="H79" s="31">
        <v>0</v>
      </c>
      <c r="I79" s="21"/>
      <c r="J79" s="31">
        <v>46085</v>
      </c>
      <c r="K79" s="31">
        <v>46164</v>
      </c>
      <c r="L79" s="23">
        <f t="shared" si="8"/>
        <v>9.2166666666666668</v>
      </c>
      <c r="M79" s="23">
        <f t="shared" si="9"/>
        <v>21.55</v>
      </c>
      <c r="N79" s="23">
        <f t="shared" si="10"/>
        <v>0</v>
      </c>
      <c r="O79" s="23">
        <f t="shared" si="11"/>
        <v>6.1</v>
      </c>
    </row>
    <row r="80" spans="1:15">
      <c r="A80" s="26">
        <v>513</v>
      </c>
      <c r="B80" s="27" t="s">
        <v>301</v>
      </c>
      <c r="C80" s="26" t="s">
        <v>5</v>
      </c>
      <c r="D80" s="26" t="s">
        <v>377</v>
      </c>
      <c r="E80" s="26" t="s">
        <v>378</v>
      </c>
      <c r="F80" s="26" t="s">
        <v>156</v>
      </c>
      <c r="G80" s="26" t="s">
        <v>288</v>
      </c>
      <c r="H80" s="31">
        <v>0</v>
      </c>
      <c r="I80" s="21"/>
      <c r="J80" s="31">
        <v>46157</v>
      </c>
      <c r="K80" s="31">
        <v>46175</v>
      </c>
      <c r="L80" s="23">
        <f t="shared" si="8"/>
        <v>19.533333333333335</v>
      </c>
      <c r="M80" s="23">
        <f t="shared" si="9"/>
        <v>11.7</v>
      </c>
      <c r="N80" s="23">
        <f t="shared" si="10"/>
        <v>0</v>
      </c>
      <c r="O80" s="23">
        <f t="shared" si="11"/>
        <v>6.083333333333333</v>
      </c>
    </row>
    <row r="81" spans="1:15">
      <c r="A81" s="26">
        <v>452</v>
      </c>
      <c r="B81" s="27" t="s">
        <v>138</v>
      </c>
      <c r="C81" s="26" t="s">
        <v>5</v>
      </c>
      <c r="D81" s="26" t="s">
        <v>360</v>
      </c>
      <c r="E81" s="26" t="s">
        <v>156</v>
      </c>
      <c r="F81" s="26" t="s">
        <v>156</v>
      </c>
      <c r="G81" s="26" t="s">
        <v>288</v>
      </c>
      <c r="H81" s="31">
        <v>0</v>
      </c>
      <c r="I81" s="21"/>
      <c r="J81" s="31">
        <v>45910</v>
      </c>
      <c r="K81" s="31">
        <v>45946</v>
      </c>
      <c r="L81" s="23">
        <f t="shared" si="8"/>
        <v>11.233333333333333</v>
      </c>
      <c r="M81" s="23">
        <f t="shared" si="9"/>
        <v>0</v>
      </c>
      <c r="N81" s="23">
        <f t="shared" si="10"/>
        <v>0</v>
      </c>
      <c r="O81" s="23">
        <f t="shared" si="11"/>
        <v>6.083333333333333</v>
      </c>
    </row>
    <row r="82" spans="1:15" hidden="1">
      <c r="A82" s="26">
        <v>504</v>
      </c>
      <c r="B82" s="16" t="s">
        <v>281</v>
      </c>
      <c r="C82" s="26" t="s">
        <v>27</v>
      </c>
      <c r="D82" s="26" t="s">
        <v>379</v>
      </c>
      <c r="E82" s="26" t="s">
        <v>275</v>
      </c>
      <c r="F82" s="26" t="s">
        <v>156</v>
      </c>
      <c r="G82" s="26" t="s">
        <v>289</v>
      </c>
      <c r="H82" s="31">
        <v>0</v>
      </c>
      <c r="I82" s="21"/>
      <c r="J82" s="31">
        <v>46133</v>
      </c>
      <c r="K82" s="31">
        <v>0</v>
      </c>
      <c r="L82" s="23">
        <f t="shared" si="8"/>
        <v>19.5</v>
      </c>
      <c r="M82" s="23">
        <f t="shared" si="9"/>
        <v>10.366666666666667</v>
      </c>
      <c r="N82" s="23">
        <f t="shared" si="10"/>
        <v>0</v>
      </c>
      <c r="O82" s="23">
        <f t="shared" si="11"/>
        <v>6.0166666666666666</v>
      </c>
    </row>
    <row r="83" spans="1:15">
      <c r="A83" s="26">
        <v>498</v>
      </c>
      <c r="B83" s="27" t="s">
        <v>114</v>
      </c>
      <c r="C83" s="26" t="s">
        <v>5</v>
      </c>
      <c r="D83" s="26" t="s">
        <v>380</v>
      </c>
      <c r="E83" s="26" t="s">
        <v>381</v>
      </c>
      <c r="F83" s="26" t="s">
        <v>156</v>
      </c>
      <c r="G83" s="26" t="s">
        <v>289</v>
      </c>
      <c r="H83" s="31">
        <v>0</v>
      </c>
      <c r="I83" s="21"/>
      <c r="J83" s="31">
        <v>46117</v>
      </c>
      <c r="K83" s="31">
        <v>46164</v>
      </c>
      <c r="L83" s="23">
        <f t="shared" si="8"/>
        <v>18.3</v>
      </c>
      <c r="M83" s="23">
        <f t="shared" si="9"/>
        <v>11.4</v>
      </c>
      <c r="N83" s="23">
        <f t="shared" si="10"/>
        <v>0</v>
      </c>
      <c r="O83" s="23">
        <f t="shared" si="11"/>
        <v>6.0166666666666666</v>
      </c>
    </row>
    <row r="84" spans="1:15">
      <c r="A84" s="26">
        <v>402</v>
      </c>
      <c r="B84" s="16" t="s">
        <v>103</v>
      </c>
      <c r="C84" s="26" t="s">
        <v>5</v>
      </c>
      <c r="D84" s="21" t="s">
        <v>382</v>
      </c>
      <c r="E84" s="21" t="s">
        <v>383</v>
      </c>
      <c r="F84" s="21" t="s">
        <v>156</v>
      </c>
      <c r="G84" s="21" t="s">
        <v>289</v>
      </c>
      <c r="H84" s="31">
        <v>0</v>
      </c>
      <c r="I84" s="21"/>
      <c r="J84" s="31">
        <v>45712</v>
      </c>
      <c r="K84" s="31">
        <v>45856</v>
      </c>
      <c r="L84" s="23">
        <f t="shared" si="8"/>
        <v>24.683333333333334</v>
      </c>
      <c r="M84" s="23">
        <f t="shared" si="9"/>
        <v>6.666666666666667</v>
      </c>
      <c r="N84" s="23">
        <f t="shared" si="10"/>
        <v>0</v>
      </c>
      <c r="O84" s="23">
        <f t="shared" si="11"/>
        <v>6.0166666666666666</v>
      </c>
    </row>
    <row r="85" spans="1:15">
      <c r="A85" s="26">
        <v>441</v>
      </c>
      <c r="B85" s="27" t="s">
        <v>43</v>
      </c>
      <c r="C85" s="26" t="s">
        <v>5</v>
      </c>
      <c r="D85" s="26" t="s">
        <v>156</v>
      </c>
      <c r="E85" s="26" t="s">
        <v>156</v>
      </c>
      <c r="F85" s="26" t="s">
        <v>156</v>
      </c>
      <c r="G85" s="26" t="s">
        <v>156</v>
      </c>
      <c r="H85" s="31">
        <v>0</v>
      </c>
      <c r="I85" s="21"/>
      <c r="J85" s="31">
        <v>45847</v>
      </c>
      <c r="K85" s="31">
        <v>46042</v>
      </c>
      <c r="L85" s="23">
        <f t="shared" si="8"/>
        <v>0</v>
      </c>
      <c r="M85" s="23">
        <f t="shared" si="9"/>
        <v>0</v>
      </c>
      <c r="N85" s="23">
        <f t="shared" si="10"/>
        <v>0</v>
      </c>
      <c r="O85" s="23">
        <f t="shared" si="11"/>
        <v>0</v>
      </c>
    </row>
    <row r="86" spans="1:15" hidden="1">
      <c r="A86" s="26"/>
      <c r="B86" s="22"/>
      <c r="C86" s="26"/>
      <c r="D86" s="26"/>
      <c r="E86" s="26"/>
      <c r="F86" s="26"/>
      <c r="G86" s="26"/>
      <c r="H86" s="31"/>
      <c r="I86" s="21"/>
      <c r="J86" s="31"/>
      <c r="K86" s="31"/>
      <c r="L86" s="23" t="e">
        <f t="shared" si="8"/>
        <v>#VALUE!</v>
      </c>
      <c r="M86" s="23" t="e">
        <f t="shared" si="9"/>
        <v>#VALUE!</v>
      </c>
      <c r="N86" s="23" t="e">
        <f t="shared" si="10"/>
        <v>#VALUE!</v>
      </c>
      <c r="O86" s="23" t="e">
        <f t="shared" si="11"/>
        <v>#VALUE!</v>
      </c>
    </row>
    <row r="87" spans="1:15" hidden="1">
      <c r="A87" s="26"/>
      <c r="B87" s="16"/>
      <c r="C87" s="26"/>
      <c r="D87" s="21"/>
      <c r="E87" s="21"/>
      <c r="F87" s="21"/>
      <c r="G87" s="21"/>
      <c r="H87" s="31"/>
      <c r="I87" s="21"/>
      <c r="J87" s="31"/>
      <c r="K87" s="31"/>
      <c r="L87" s="23" t="e">
        <f t="shared" si="8"/>
        <v>#VALUE!</v>
      </c>
      <c r="M87" s="23" t="e">
        <f t="shared" si="9"/>
        <v>#VALUE!</v>
      </c>
      <c r="N87" s="23" t="e">
        <f t="shared" si="10"/>
        <v>#VALUE!</v>
      </c>
      <c r="O87" s="23" t="e">
        <f t="shared" si="11"/>
        <v>#VALUE!</v>
      </c>
    </row>
    <row r="88" spans="1:15" hidden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23" t="e">
        <f t="shared" si="8"/>
        <v>#VALUE!</v>
      </c>
      <c r="M88" s="23" t="e">
        <f t="shared" si="9"/>
        <v>#VALUE!</v>
      </c>
      <c r="N88" s="23" t="e">
        <f t="shared" si="10"/>
        <v>#VALUE!</v>
      </c>
      <c r="O88" s="23" t="e">
        <f t="shared" si="11"/>
        <v>#VALUE!</v>
      </c>
    </row>
    <row r="89" spans="1:15" hidden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23" t="e">
        <f t="shared" si="8"/>
        <v>#VALUE!</v>
      </c>
      <c r="M89" s="23" t="e">
        <f t="shared" si="9"/>
        <v>#VALUE!</v>
      </c>
      <c r="N89" s="23" t="e">
        <f t="shared" si="10"/>
        <v>#VALUE!</v>
      </c>
      <c r="O89" s="23" t="e">
        <f t="shared" si="11"/>
        <v>#VALUE!</v>
      </c>
    </row>
    <row r="90" spans="1:15" hidden="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23" t="e">
        <f t="shared" si="8"/>
        <v>#VALUE!</v>
      </c>
      <c r="M90" s="23" t="e">
        <f t="shared" si="9"/>
        <v>#VALUE!</v>
      </c>
      <c r="N90" s="23" t="e">
        <f t="shared" si="10"/>
        <v>#VALUE!</v>
      </c>
      <c r="O90" s="23" t="e">
        <f t="shared" si="11"/>
        <v>#VALUE!</v>
      </c>
    </row>
    <row r="91" spans="1:15" hidden="1">
      <c r="L91" s="23" t="e">
        <f t="shared" si="8"/>
        <v>#VALUE!</v>
      </c>
      <c r="M91" s="23" t="e">
        <f t="shared" si="9"/>
        <v>#VALUE!</v>
      </c>
      <c r="N91" s="23" t="e">
        <f t="shared" si="10"/>
        <v>#VALUE!</v>
      </c>
      <c r="O91" s="23" t="e">
        <f t="shared" si="11"/>
        <v>#VALUE!</v>
      </c>
    </row>
    <row r="92" spans="1:15" hidden="1">
      <c r="L92" s="23" t="e">
        <f t="shared" si="8"/>
        <v>#VALUE!</v>
      </c>
      <c r="M92" s="23" t="e">
        <f t="shared" si="9"/>
        <v>#VALUE!</v>
      </c>
      <c r="N92" s="23" t="e">
        <f t="shared" si="10"/>
        <v>#VALUE!</v>
      </c>
      <c r="O92" s="23" t="e">
        <f t="shared" si="11"/>
        <v>#VALUE!</v>
      </c>
    </row>
    <row r="93" spans="1:15" hidden="1">
      <c r="L93" s="23" t="e">
        <f t="shared" si="8"/>
        <v>#VALUE!</v>
      </c>
      <c r="M93" s="23" t="e">
        <f t="shared" si="9"/>
        <v>#VALUE!</v>
      </c>
      <c r="N93" s="23" t="e">
        <f t="shared" si="10"/>
        <v>#VALUE!</v>
      </c>
      <c r="O93" s="23" t="e">
        <f t="shared" si="11"/>
        <v>#VALUE!</v>
      </c>
    </row>
    <row r="94" spans="1:15" hidden="1">
      <c r="L94" s="23" t="e">
        <f t="shared" si="8"/>
        <v>#VALUE!</v>
      </c>
      <c r="M94" s="23" t="e">
        <f t="shared" si="9"/>
        <v>#VALUE!</v>
      </c>
      <c r="N94" s="23" t="e">
        <f t="shared" si="10"/>
        <v>#VALUE!</v>
      </c>
      <c r="O94" s="23" t="e">
        <f t="shared" si="11"/>
        <v>#VALUE!</v>
      </c>
    </row>
    <row r="95" spans="1:15" hidden="1">
      <c r="L95" s="23" t="e">
        <f t="shared" si="8"/>
        <v>#VALUE!</v>
      </c>
      <c r="M95" s="23" t="e">
        <f t="shared" si="9"/>
        <v>#VALUE!</v>
      </c>
      <c r="N95" s="23" t="e">
        <f t="shared" si="10"/>
        <v>#VALUE!</v>
      </c>
      <c r="O95" s="23" t="e">
        <f t="shared" si="11"/>
        <v>#VALUE!</v>
      </c>
    </row>
    <row r="96" spans="1:15" hidden="1">
      <c r="L96" s="23" t="e">
        <f t="shared" si="8"/>
        <v>#VALUE!</v>
      </c>
      <c r="M96" s="23" t="e">
        <f t="shared" si="9"/>
        <v>#VALUE!</v>
      </c>
      <c r="N96" s="23" t="e">
        <f t="shared" si="10"/>
        <v>#VALUE!</v>
      </c>
      <c r="O96" s="23" t="e">
        <f t="shared" si="11"/>
        <v>#VALUE!</v>
      </c>
    </row>
    <row r="97" spans="12:15" hidden="1">
      <c r="L97" s="23" t="e">
        <f t="shared" si="8"/>
        <v>#VALUE!</v>
      </c>
      <c r="M97" s="23" t="e">
        <f t="shared" si="9"/>
        <v>#VALUE!</v>
      </c>
      <c r="N97" s="23" t="e">
        <f t="shared" si="10"/>
        <v>#VALUE!</v>
      </c>
      <c r="O97" s="23" t="e">
        <f t="shared" si="11"/>
        <v>#VALUE!</v>
      </c>
    </row>
    <row r="98" spans="12:15" hidden="1">
      <c r="L98" s="23" t="e">
        <f t="shared" si="8"/>
        <v>#VALUE!</v>
      </c>
      <c r="M98" s="23" t="e">
        <f t="shared" si="9"/>
        <v>#VALUE!</v>
      </c>
      <c r="N98" s="23" t="e">
        <f t="shared" si="10"/>
        <v>#VALUE!</v>
      </c>
      <c r="O98" s="23" t="e">
        <f t="shared" si="11"/>
        <v>#VALUE!</v>
      </c>
    </row>
    <row r="99" spans="12:15" hidden="1">
      <c r="L99" s="23" t="e">
        <f t="shared" si="8"/>
        <v>#VALUE!</v>
      </c>
      <c r="M99" s="23" t="e">
        <f t="shared" si="9"/>
        <v>#VALUE!</v>
      </c>
      <c r="N99" s="23" t="e">
        <f t="shared" si="10"/>
        <v>#VALUE!</v>
      </c>
      <c r="O99" s="23" t="e">
        <f t="shared" si="11"/>
        <v>#VALUE!</v>
      </c>
    </row>
    <row r="100" spans="12:15" hidden="1">
      <c r="L100" s="23" t="e">
        <f t="shared" si="8"/>
        <v>#VALUE!</v>
      </c>
      <c r="M100" s="23" t="e">
        <f t="shared" si="9"/>
        <v>#VALUE!</v>
      </c>
      <c r="N100" s="23" t="e">
        <f t="shared" si="10"/>
        <v>#VALUE!</v>
      </c>
      <c r="O100" s="23" t="e">
        <f t="shared" si="11"/>
        <v>#VALUE!</v>
      </c>
    </row>
  </sheetData>
  <autoFilter ref="A2:O100">
    <filterColumn colId="2">
      <filters>
        <filter val="REG"/>
      </filters>
    </filterColumn>
    <sortState ref="A3:O100">
      <sortCondition ref="B2:B100"/>
    </sortState>
  </autoFilter>
  <sortState ref="S3:U45">
    <sortCondition ref="S3:S45"/>
  </sortState>
  <pageMargins left="0.51181102362204722" right="0.51181102362204722" top="0.78740157480314965" bottom="0.78740157480314965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1"/>
  <dimension ref="A1:I64"/>
  <sheetViews>
    <sheetView view="pageBreakPreview" zoomScale="60" workbookViewId="0">
      <selection activeCell="F30" sqref="F30"/>
    </sheetView>
  </sheetViews>
  <sheetFormatPr defaultRowHeight="15"/>
  <cols>
    <col min="1" max="1" width="7.7109375" customWidth="1"/>
    <col min="2" max="2" width="30" customWidth="1"/>
    <col min="3" max="3" width="5.42578125" customWidth="1"/>
    <col min="4" max="4" width="6.7109375" customWidth="1"/>
    <col min="5" max="6" width="14.28515625" customWidth="1"/>
    <col min="7" max="7" width="13.7109375" customWidth="1"/>
    <col min="8" max="8" width="10.7109375" customWidth="1"/>
  </cols>
  <sheetData>
    <row r="1" spans="1:9" ht="15.75" thickBot="1"/>
    <row r="2" spans="1:9" ht="21">
      <c r="A2" s="16"/>
      <c r="B2" s="2"/>
      <c r="C2" s="3" t="s">
        <v>7</v>
      </c>
      <c r="D2" s="2"/>
      <c r="E2" s="2"/>
      <c r="F2" s="2"/>
      <c r="G2" s="33"/>
      <c r="H2" s="33"/>
    </row>
    <row r="3" spans="1:9" ht="15.75">
      <c r="A3" s="16"/>
      <c r="B3" s="6" t="s">
        <v>1</v>
      </c>
      <c r="C3" s="7">
        <v>46174</v>
      </c>
      <c r="D3" s="8"/>
      <c r="E3" s="8"/>
      <c r="F3" s="8"/>
      <c r="G3" s="34"/>
      <c r="H3" s="34"/>
    </row>
    <row r="4" spans="1:9" ht="15.75">
      <c r="A4" s="16"/>
      <c r="B4" s="17"/>
      <c r="C4" s="11"/>
      <c r="D4" s="12"/>
      <c r="E4" s="12"/>
      <c r="F4" s="12"/>
      <c r="G4" s="34"/>
      <c r="H4" s="34"/>
    </row>
    <row r="5" spans="1:9" ht="30">
      <c r="A5" s="45" t="s">
        <v>2</v>
      </c>
      <c r="B5" s="46" t="s">
        <v>3</v>
      </c>
      <c r="C5" s="46" t="s">
        <v>4</v>
      </c>
      <c r="D5" s="47" t="s">
        <v>5</v>
      </c>
      <c r="E5" s="47" t="s">
        <v>6</v>
      </c>
      <c r="F5" s="48" t="s">
        <v>8</v>
      </c>
      <c r="G5" s="44" t="s">
        <v>64</v>
      </c>
      <c r="H5" s="44" t="s">
        <v>63</v>
      </c>
      <c r="I5" s="35"/>
    </row>
    <row r="6" spans="1:9" hidden="1">
      <c r="A6" s="53" t="s">
        <v>123</v>
      </c>
      <c r="B6" s="53" t="s">
        <v>124</v>
      </c>
      <c r="C6" s="28"/>
      <c r="D6" s="28"/>
      <c r="E6" s="54">
        <v>0</v>
      </c>
      <c r="F6" s="61"/>
      <c r="G6" s="28"/>
      <c r="H6" s="29"/>
    </row>
    <row r="7" spans="1:9">
      <c r="A7" s="55">
        <v>494</v>
      </c>
      <c r="B7" s="55" t="s">
        <v>272</v>
      </c>
      <c r="C7" s="28" t="s">
        <v>65</v>
      </c>
      <c r="D7" s="29" t="s">
        <v>5</v>
      </c>
      <c r="E7" s="54">
        <v>782.89823826305872</v>
      </c>
      <c r="F7" s="62">
        <v>389</v>
      </c>
      <c r="G7" s="28"/>
      <c r="H7" s="29">
        <v>0</v>
      </c>
    </row>
    <row r="8" spans="1:9">
      <c r="A8" s="55">
        <v>428</v>
      </c>
      <c r="B8" s="55" t="s">
        <v>110</v>
      </c>
      <c r="C8" s="28" t="s">
        <v>111</v>
      </c>
      <c r="D8" s="29" t="s">
        <v>5</v>
      </c>
      <c r="E8" s="70">
        <v>1565.7964765261174</v>
      </c>
      <c r="F8" s="70">
        <v>188</v>
      </c>
      <c r="G8" s="28"/>
      <c r="H8" s="29">
        <v>0</v>
      </c>
    </row>
    <row r="9" spans="1:9">
      <c r="A9" s="75">
        <v>491</v>
      </c>
      <c r="B9" s="75" t="s">
        <v>145</v>
      </c>
      <c r="C9" s="16" t="s">
        <v>147</v>
      </c>
      <c r="D9" s="16" t="s">
        <v>5</v>
      </c>
      <c r="E9" s="65">
        <v>782.89823826305872</v>
      </c>
      <c r="F9" s="65">
        <v>99</v>
      </c>
      <c r="G9" s="16"/>
      <c r="H9" s="29">
        <v>0</v>
      </c>
    </row>
    <row r="10" spans="1:9">
      <c r="A10" s="55">
        <v>373</v>
      </c>
      <c r="B10" s="55" t="s">
        <v>94</v>
      </c>
      <c r="C10" s="28" t="s">
        <v>93</v>
      </c>
      <c r="D10" s="29" t="s">
        <v>5</v>
      </c>
      <c r="E10" s="54">
        <v>1826.7625559471371</v>
      </c>
      <c r="F10" s="62">
        <v>40</v>
      </c>
      <c r="G10" s="28"/>
      <c r="H10" s="29">
        <v>0</v>
      </c>
    </row>
    <row r="11" spans="1:9">
      <c r="A11" s="55">
        <v>453</v>
      </c>
      <c r="B11" s="55" t="s">
        <v>139</v>
      </c>
      <c r="C11" s="28" t="s">
        <v>56</v>
      </c>
      <c r="D11" s="29" t="s">
        <v>5</v>
      </c>
      <c r="E11" s="54">
        <v>2810.6268736312154</v>
      </c>
      <c r="F11" s="62">
        <v>91</v>
      </c>
      <c r="G11" s="28"/>
      <c r="H11" s="29">
        <v>0</v>
      </c>
    </row>
    <row r="12" spans="1:9">
      <c r="A12" s="55">
        <v>81</v>
      </c>
      <c r="B12" s="55" t="s">
        <v>28</v>
      </c>
      <c r="C12" s="28" t="s">
        <v>150</v>
      </c>
      <c r="D12" s="29" t="s">
        <v>5</v>
      </c>
      <c r="E12" s="54">
        <v>4697.3894295783521</v>
      </c>
      <c r="F12" s="62">
        <v>1121</v>
      </c>
      <c r="G12" s="28"/>
      <c r="H12" s="29">
        <v>0</v>
      </c>
    </row>
    <row r="13" spans="1:9">
      <c r="A13" s="55">
        <v>479</v>
      </c>
      <c r="B13" s="55" t="s">
        <v>92</v>
      </c>
      <c r="C13" s="28" t="s">
        <v>122</v>
      </c>
      <c r="D13" s="29" t="s">
        <v>5</v>
      </c>
      <c r="E13" s="54">
        <v>2348.694714789176</v>
      </c>
      <c r="F13" s="62">
        <v>874</v>
      </c>
      <c r="G13" s="28"/>
      <c r="H13" s="29">
        <v>0</v>
      </c>
    </row>
    <row r="14" spans="1:9">
      <c r="A14" s="55">
        <v>13</v>
      </c>
      <c r="B14" s="55" t="s">
        <v>29</v>
      </c>
      <c r="C14" s="28" t="s">
        <v>48</v>
      </c>
      <c r="D14" s="29" t="s">
        <v>5</v>
      </c>
      <c r="E14" s="70">
        <v>6524.1519855254892</v>
      </c>
      <c r="F14" s="70">
        <v>296</v>
      </c>
      <c r="G14" s="28"/>
      <c r="H14" s="29">
        <v>0</v>
      </c>
    </row>
    <row r="15" spans="1:9">
      <c r="A15" s="55">
        <v>43</v>
      </c>
      <c r="B15" s="55" t="s">
        <v>30</v>
      </c>
      <c r="C15" s="28" t="s">
        <v>113</v>
      </c>
      <c r="D15" s="29" t="s">
        <v>5</v>
      </c>
      <c r="E15" s="54">
        <v>2609.6607942101955</v>
      </c>
      <c r="F15" s="62"/>
      <c r="G15" s="28"/>
      <c r="H15" s="29">
        <v>0</v>
      </c>
    </row>
    <row r="16" spans="1:9">
      <c r="A16" s="55">
        <v>264</v>
      </c>
      <c r="B16" s="55" t="s">
        <v>60</v>
      </c>
      <c r="C16" s="28" t="s">
        <v>151</v>
      </c>
      <c r="D16" s="29" t="s">
        <v>5</v>
      </c>
      <c r="E16" s="54">
        <v>3653.5251118942742</v>
      </c>
      <c r="F16" s="62">
        <v>297</v>
      </c>
      <c r="G16" s="28"/>
      <c r="H16" s="29">
        <v>0</v>
      </c>
    </row>
    <row r="17" spans="1:8">
      <c r="A17" s="55">
        <v>346</v>
      </c>
      <c r="B17" s="55" t="s">
        <v>80</v>
      </c>
      <c r="C17" s="28" t="s">
        <v>67</v>
      </c>
      <c r="D17" s="29" t="s">
        <v>5</v>
      </c>
      <c r="E17" s="54">
        <v>2087.7286353681566</v>
      </c>
      <c r="F17" s="62">
        <v>177</v>
      </c>
      <c r="G17" s="28"/>
      <c r="H17" s="29">
        <v>0</v>
      </c>
    </row>
    <row r="18" spans="1:8">
      <c r="A18" s="55">
        <v>129</v>
      </c>
      <c r="B18" s="55" t="s">
        <v>32</v>
      </c>
      <c r="C18" s="28" t="s">
        <v>56</v>
      </c>
      <c r="D18" s="29" t="s">
        <v>5</v>
      </c>
      <c r="E18" s="54">
        <v>0</v>
      </c>
      <c r="F18" s="62">
        <v>194</v>
      </c>
      <c r="G18" s="28"/>
      <c r="H18" s="29">
        <v>0</v>
      </c>
    </row>
    <row r="19" spans="1:8" hidden="1">
      <c r="A19" s="55" t="s">
        <v>123</v>
      </c>
      <c r="B19" s="53" t="s">
        <v>273</v>
      </c>
      <c r="C19" s="28" t="s">
        <v>123</v>
      </c>
      <c r="D19" s="29" t="s">
        <v>123</v>
      </c>
      <c r="E19" s="54">
        <v>0</v>
      </c>
      <c r="F19" s="62"/>
      <c r="G19" s="28"/>
      <c r="H19" s="29" t="s">
        <v>123</v>
      </c>
    </row>
    <row r="20" spans="1:8">
      <c r="A20" s="55">
        <v>474</v>
      </c>
      <c r="B20" s="55" t="s">
        <v>159</v>
      </c>
      <c r="C20" s="28" t="s">
        <v>65</v>
      </c>
      <c r="D20" s="29" t="s">
        <v>5</v>
      </c>
      <c r="E20" s="54">
        <v>782.89823826305872</v>
      </c>
      <c r="F20" s="62">
        <v>168</v>
      </c>
      <c r="G20" s="28"/>
      <c r="H20" s="29">
        <v>0</v>
      </c>
    </row>
    <row r="21" spans="1:8">
      <c r="A21" s="75">
        <v>84</v>
      </c>
      <c r="B21" s="75" t="s">
        <v>33</v>
      </c>
      <c r="C21" s="16" t="s">
        <v>154</v>
      </c>
      <c r="D21" s="16" t="s">
        <v>5</v>
      </c>
      <c r="E21" s="65">
        <v>0</v>
      </c>
      <c r="F21" s="65">
        <v>800</v>
      </c>
      <c r="G21" s="16"/>
      <c r="H21" s="29">
        <v>0</v>
      </c>
    </row>
    <row r="22" spans="1:8" hidden="1">
      <c r="A22" s="55" t="s">
        <v>123</v>
      </c>
      <c r="B22" s="55" t="s">
        <v>123</v>
      </c>
      <c r="C22" s="28" t="s">
        <v>123</v>
      </c>
      <c r="D22" s="29" t="s">
        <v>123</v>
      </c>
      <c r="E22" s="54">
        <v>0</v>
      </c>
      <c r="F22" s="62"/>
      <c r="G22" s="28"/>
      <c r="H22" s="29" t="s">
        <v>123</v>
      </c>
    </row>
    <row r="23" spans="1:8" hidden="1">
      <c r="A23" s="55">
        <v>519</v>
      </c>
      <c r="B23" s="55" t="s">
        <v>386</v>
      </c>
      <c r="C23" s="28" t="s">
        <v>65</v>
      </c>
      <c r="D23" s="29" t="s">
        <v>266</v>
      </c>
      <c r="E23" s="54">
        <v>417.54572707363133</v>
      </c>
      <c r="F23" s="62">
        <v>162</v>
      </c>
      <c r="G23" s="28"/>
      <c r="H23" s="29">
        <v>0</v>
      </c>
    </row>
    <row r="24" spans="1:8">
      <c r="A24" s="75">
        <v>272</v>
      </c>
      <c r="B24" s="75" t="s">
        <v>62</v>
      </c>
      <c r="C24" s="16" t="s">
        <v>154</v>
      </c>
      <c r="D24" s="16" t="s">
        <v>5</v>
      </c>
      <c r="E24" s="65">
        <v>1174.347357394588</v>
      </c>
      <c r="F24" s="65">
        <v>119</v>
      </c>
      <c r="G24" s="16"/>
      <c r="H24" s="29">
        <v>0</v>
      </c>
    </row>
    <row r="25" spans="1:8">
      <c r="A25" s="55">
        <v>511</v>
      </c>
      <c r="B25" s="55" t="s">
        <v>300</v>
      </c>
      <c r="C25" s="28" t="s">
        <v>65</v>
      </c>
      <c r="D25" s="29" t="s">
        <v>5</v>
      </c>
      <c r="E25" s="54">
        <v>782.89823826305872</v>
      </c>
      <c r="F25" s="62">
        <v>298</v>
      </c>
      <c r="G25" s="28"/>
      <c r="H25" s="29">
        <v>0</v>
      </c>
    </row>
    <row r="26" spans="1:8">
      <c r="A26" s="55">
        <v>412</v>
      </c>
      <c r="B26" s="55" t="s">
        <v>107</v>
      </c>
      <c r="C26" s="28" t="s">
        <v>83</v>
      </c>
      <c r="D26" s="29" t="s">
        <v>5</v>
      </c>
      <c r="E26" s="54">
        <v>1304.8303971050977</v>
      </c>
      <c r="F26" s="62">
        <v>364</v>
      </c>
      <c r="G26" s="28"/>
      <c r="H26" s="29">
        <v>0</v>
      </c>
    </row>
    <row r="27" spans="1:8">
      <c r="A27" s="55">
        <v>309</v>
      </c>
      <c r="B27" s="55" t="s">
        <v>61</v>
      </c>
      <c r="C27" s="28" t="s">
        <v>56</v>
      </c>
      <c r="D27" s="29" t="s">
        <v>5</v>
      </c>
      <c r="E27" s="54">
        <v>2870.6268736312154</v>
      </c>
      <c r="F27" s="62">
        <v>256</v>
      </c>
      <c r="G27" s="28"/>
      <c r="H27" s="29">
        <v>0</v>
      </c>
    </row>
    <row r="28" spans="1:8">
      <c r="A28" s="55">
        <v>194</v>
      </c>
      <c r="B28" s="55" t="s">
        <v>35</v>
      </c>
      <c r="C28" s="28" t="s">
        <v>113</v>
      </c>
      <c r="D28" s="29" t="s">
        <v>5</v>
      </c>
      <c r="E28" s="54">
        <v>2609.6607942101955</v>
      </c>
      <c r="F28" s="62">
        <v>355</v>
      </c>
      <c r="G28" s="28"/>
      <c r="H28" s="29">
        <v>0</v>
      </c>
    </row>
    <row r="29" spans="1:8">
      <c r="A29" s="55">
        <v>500</v>
      </c>
      <c r="B29" s="55" t="s">
        <v>277</v>
      </c>
      <c r="C29" s="28" t="s">
        <v>93</v>
      </c>
      <c r="D29" s="29" t="s">
        <v>5</v>
      </c>
      <c r="E29" s="54">
        <v>1826.7625559471371</v>
      </c>
      <c r="F29" s="62">
        <v>124</v>
      </c>
      <c r="G29" s="28"/>
      <c r="H29" s="29">
        <v>0</v>
      </c>
    </row>
    <row r="30" spans="1:8">
      <c r="A30" s="55">
        <v>336</v>
      </c>
      <c r="B30" s="76" t="s">
        <v>79</v>
      </c>
      <c r="C30" s="28" t="s">
        <v>133</v>
      </c>
      <c r="D30" s="29" t="s">
        <v>5</v>
      </c>
      <c r="E30" s="70">
        <v>0</v>
      </c>
      <c r="F30" s="71"/>
      <c r="G30" s="28"/>
      <c r="H30" s="29">
        <v>0</v>
      </c>
    </row>
    <row r="31" spans="1:8">
      <c r="A31" s="55">
        <v>398</v>
      </c>
      <c r="B31" s="55" t="s">
        <v>100</v>
      </c>
      <c r="C31" s="28" t="s">
        <v>153</v>
      </c>
      <c r="D31" s="29" t="s">
        <v>5</v>
      </c>
      <c r="E31" s="54">
        <v>0</v>
      </c>
      <c r="F31" s="62">
        <v>159</v>
      </c>
      <c r="G31" s="28"/>
      <c r="H31" s="29">
        <v>0</v>
      </c>
    </row>
    <row r="32" spans="1:8" hidden="1">
      <c r="A32" s="55">
        <v>521</v>
      </c>
      <c r="B32" s="55" t="s">
        <v>392</v>
      </c>
      <c r="C32" s="28" t="s">
        <v>65</v>
      </c>
      <c r="D32" s="29" t="s">
        <v>266</v>
      </c>
      <c r="E32" s="54">
        <v>365.35251118942745</v>
      </c>
      <c r="F32" s="62">
        <v>132</v>
      </c>
      <c r="G32" s="28"/>
      <c r="H32" s="29">
        <v>0</v>
      </c>
    </row>
    <row r="33" spans="1:8" hidden="1">
      <c r="A33" s="55">
        <v>522</v>
      </c>
      <c r="B33" s="55" t="s">
        <v>394</v>
      </c>
      <c r="C33" s="28" t="s">
        <v>65</v>
      </c>
      <c r="D33" s="29" t="s">
        <v>266</v>
      </c>
      <c r="E33" s="54">
        <v>313.15929530522351</v>
      </c>
      <c r="F33" s="51">
        <v>121</v>
      </c>
      <c r="G33" s="28"/>
      <c r="H33" s="29">
        <v>0</v>
      </c>
    </row>
    <row r="34" spans="1:8">
      <c r="A34" s="55">
        <v>406</v>
      </c>
      <c r="B34" s="55" t="s">
        <v>106</v>
      </c>
      <c r="C34" s="28" t="s">
        <v>93</v>
      </c>
      <c r="D34" s="29" t="s">
        <v>5</v>
      </c>
      <c r="E34" s="54">
        <v>1826.7625559471371</v>
      </c>
      <c r="F34" s="62">
        <v>251</v>
      </c>
      <c r="G34" s="28"/>
      <c r="H34" s="29">
        <v>0</v>
      </c>
    </row>
    <row r="35" spans="1:8">
      <c r="A35" s="55">
        <v>266</v>
      </c>
      <c r="B35" s="55" t="s">
        <v>59</v>
      </c>
      <c r="C35" s="28" t="s">
        <v>56</v>
      </c>
      <c r="D35" s="29" t="s">
        <v>5</v>
      </c>
      <c r="E35" s="54">
        <v>0</v>
      </c>
      <c r="F35" s="62">
        <v>275</v>
      </c>
      <c r="G35" s="28"/>
      <c r="H35" s="29">
        <v>0</v>
      </c>
    </row>
    <row r="36" spans="1:8">
      <c r="A36" s="55">
        <v>478</v>
      </c>
      <c r="B36" s="55" t="s">
        <v>162</v>
      </c>
      <c r="C36" s="28" t="s">
        <v>65</v>
      </c>
      <c r="D36" s="29" t="s">
        <v>5</v>
      </c>
      <c r="E36" s="54">
        <v>782.89823826305872</v>
      </c>
      <c r="F36" s="62"/>
      <c r="G36" s="28"/>
      <c r="H36" s="29">
        <v>0</v>
      </c>
    </row>
    <row r="37" spans="1:8" hidden="1">
      <c r="A37" s="55">
        <v>523</v>
      </c>
      <c r="B37" s="55" t="s">
        <v>396</v>
      </c>
      <c r="C37" s="28" t="s">
        <v>65</v>
      </c>
      <c r="D37" s="29" t="s">
        <v>266</v>
      </c>
      <c r="E37" s="54">
        <v>313.15929530522351</v>
      </c>
      <c r="F37" s="62">
        <v>40</v>
      </c>
      <c r="G37" s="28"/>
      <c r="H37" s="29">
        <v>0</v>
      </c>
    </row>
    <row r="38" spans="1:8">
      <c r="A38" s="55">
        <v>92</v>
      </c>
      <c r="B38" s="55" t="s">
        <v>39</v>
      </c>
      <c r="C38" s="28" t="s">
        <v>133</v>
      </c>
      <c r="D38" s="29" t="s">
        <v>5</v>
      </c>
      <c r="E38" s="54">
        <v>4175.4572707363131</v>
      </c>
      <c r="F38" s="62">
        <v>248</v>
      </c>
      <c r="G38" s="28"/>
      <c r="H38" s="29">
        <v>0</v>
      </c>
    </row>
    <row r="39" spans="1:8">
      <c r="A39" s="55">
        <v>451</v>
      </c>
      <c r="B39" s="55" t="s">
        <v>137</v>
      </c>
      <c r="C39" s="28" t="s">
        <v>56</v>
      </c>
      <c r="D39" s="29" t="s">
        <v>5</v>
      </c>
      <c r="E39" s="54">
        <v>2870.6268736312154</v>
      </c>
      <c r="F39" s="62">
        <v>1113</v>
      </c>
      <c r="G39" s="28"/>
      <c r="H39" s="29">
        <v>0</v>
      </c>
    </row>
    <row r="40" spans="1:8">
      <c r="A40" s="55">
        <v>183</v>
      </c>
      <c r="B40" s="55" t="s">
        <v>40</v>
      </c>
      <c r="C40" s="28" t="s">
        <v>67</v>
      </c>
      <c r="D40" s="29" t="s">
        <v>5</v>
      </c>
      <c r="E40" s="54">
        <v>2087.7286353681566</v>
      </c>
      <c r="F40" s="62">
        <v>55</v>
      </c>
      <c r="G40" s="28"/>
      <c r="H40" s="29">
        <v>0</v>
      </c>
    </row>
    <row r="41" spans="1:8" hidden="1">
      <c r="A41" s="55">
        <v>524</v>
      </c>
      <c r="B41" s="55" t="s">
        <v>399</v>
      </c>
      <c r="C41" s="28" t="s">
        <v>65</v>
      </c>
      <c r="D41" s="29" t="s">
        <v>266</v>
      </c>
      <c r="E41" s="54">
        <v>208.77286353681566</v>
      </c>
      <c r="F41" s="62">
        <v>130</v>
      </c>
      <c r="G41" s="28"/>
      <c r="H41" s="29">
        <v>0</v>
      </c>
    </row>
    <row r="42" spans="1:8" hidden="1">
      <c r="A42" s="55">
        <v>504</v>
      </c>
      <c r="B42" s="55" t="s">
        <v>281</v>
      </c>
      <c r="C42" s="28" t="s">
        <v>65</v>
      </c>
      <c r="D42" s="29" t="s">
        <v>266</v>
      </c>
      <c r="E42" s="54">
        <v>782.89823826305872</v>
      </c>
      <c r="F42" s="62">
        <v>137</v>
      </c>
      <c r="G42" s="28"/>
      <c r="H42" s="29">
        <v>0</v>
      </c>
    </row>
    <row r="43" spans="1:8" hidden="1">
      <c r="A43" s="55" t="s">
        <v>123</v>
      </c>
      <c r="B43" s="55" t="s">
        <v>123</v>
      </c>
      <c r="C43" s="28" t="s">
        <v>123</v>
      </c>
      <c r="D43" s="29" t="s">
        <v>123</v>
      </c>
      <c r="E43" s="54">
        <v>0</v>
      </c>
      <c r="F43" s="62"/>
      <c r="G43" s="28"/>
      <c r="H43" s="29" t="s">
        <v>123</v>
      </c>
    </row>
    <row r="44" spans="1:8">
      <c r="A44" s="55">
        <v>447</v>
      </c>
      <c r="B44" s="55" t="s">
        <v>121</v>
      </c>
      <c r="C44" s="28" t="s">
        <v>113</v>
      </c>
      <c r="D44" s="29" t="s">
        <v>5</v>
      </c>
      <c r="E44" s="54">
        <v>2609.6607942101955</v>
      </c>
      <c r="F44" s="62">
        <v>394</v>
      </c>
      <c r="G44" s="28"/>
      <c r="H44" s="29">
        <v>0</v>
      </c>
    </row>
    <row r="45" spans="1:8">
      <c r="A45" s="55">
        <v>220</v>
      </c>
      <c r="B45" s="55" t="s">
        <v>41</v>
      </c>
      <c r="C45" s="28" t="s">
        <v>56</v>
      </c>
      <c r="D45" s="29" t="s">
        <v>5</v>
      </c>
      <c r="E45" s="54">
        <v>2810.6268736312154</v>
      </c>
      <c r="F45" s="62">
        <v>129</v>
      </c>
      <c r="G45" s="28"/>
      <c r="H45" s="29">
        <v>0</v>
      </c>
    </row>
    <row r="46" spans="1:8" hidden="1">
      <c r="A46" s="55" t="s">
        <v>123</v>
      </c>
      <c r="B46" s="53" t="s">
        <v>126</v>
      </c>
      <c r="C46" s="28" t="s">
        <v>123</v>
      </c>
      <c r="D46" s="29" t="s">
        <v>123</v>
      </c>
      <c r="E46" s="54">
        <v>0</v>
      </c>
      <c r="F46" s="62"/>
      <c r="G46" s="28"/>
      <c r="H46" s="29" t="s">
        <v>123</v>
      </c>
    </row>
    <row r="47" spans="1:8">
      <c r="A47" s="55">
        <v>427</v>
      </c>
      <c r="B47" s="55" t="s">
        <v>109</v>
      </c>
      <c r="C47" s="28" t="s">
        <v>93</v>
      </c>
      <c r="D47" s="29" t="s">
        <v>5</v>
      </c>
      <c r="E47" s="54">
        <v>1826.7625559471371</v>
      </c>
      <c r="F47" s="62">
        <v>63</v>
      </c>
      <c r="G47" s="28"/>
      <c r="H47" s="29">
        <v>0</v>
      </c>
    </row>
    <row r="48" spans="1:8" hidden="1">
      <c r="A48" s="55">
        <v>520</v>
      </c>
      <c r="B48" s="55" t="s">
        <v>389</v>
      </c>
      <c r="C48" s="28" t="s">
        <v>86</v>
      </c>
      <c r="D48" s="29" t="s">
        <v>266</v>
      </c>
      <c r="E48" s="70">
        <v>556.72763609817503</v>
      </c>
      <c r="F48" s="70">
        <v>99</v>
      </c>
      <c r="G48" s="28"/>
      <c r="H48" s="29">
        <v>0</v>
      </c>
    </row>
    <row r="49" spans="1:8">
      <c r="A49" s="55">
        <v>502</v>
      </c>
      <c r="B49" s="55" t="s">
        <v>279</v>
      </c>
      <c r="C49" s="28" t="s">
        <v>65</v>
      </c>
      <c r="D49" s="29" t="s">
        <v>5</v>
      </c>
      <c r="E49" s="54">
        <v>782.89823826305872</v>
      </c>
      <c r="F49" s="62">
        <v>43</v>
      </c>
      <c r="G49" s="28"/>
      <c r="H49" s="29">
        <v>0</v>
      </c>
    </row>
    <row r="50" spans="1:8" hidden="1">
      <c r="A50" s="57" t="s">
        <v>123</v>
      </c>
      <c r="B50" s="58" t="s">
        <v>127</v>
      </c>
      <c r="C50" s="28" t="s">
        <v>123</v>
      </c>
      <c r="D50" s="29" t="s">
        <v>123</v>
      </c>
      <c r="E50" s="70">
        <v>0</v>
      </c>
      <c r="F50" s="70"/>
      <c r="G50" s="28"/>
      <c r="H50" s="29">
        <v>0</v>
      </c>
    </row>
    <row r="51" spans="1:8">
      <c r="A51" s="57">
        <v>356</v>
      </c>
      <c r="B51" s="57" t="s">
        <v>82</v>
      </c>
      <c r="C51" s="28" t="s">
        <v>113</v>
      </c>
      <c r="D51" s="29" t="s">
        <v>5</v>
      </c>
      <c r="E51" s="54">
        <v>1304.5</v>
      </c>
      <c r="F51" s="62">
        <v>475</v>
      </c>
      <c r="G51" s="28" t="s">
        <v>403</v>
      </c>
      <c r="H51" s="29">
        <v>0</v>
      </c>
    </row>
    <row r="52" spans="1:8">
      <c r="A52" s="57">
        <v>487</v>
      </c>
      <c r="B52" s="57" t="s">
        <v>271</v>
      </c>
      <c r="C52" s="28" t="s">
        <v>65</v>
      </c>
      <c r="D52" s="29" t="s">
        <v>5</v>
      </c>
      <c r="E52" s="54">
        <v>782.89823826305872</v>
      </c>
      <c r="F52" s="62"/>
      <c r="G52" s="28"/>
      <c r="H52" s="29">
        <v>0</v>
      </c>
    </row>
    <row r="53" spans="1:8" hidden="1">
      <c r="A53" s="16" t="s">
        <v>123</v>
      </c>
      <c r="B53" s="69" t="s">
        <v>128</v>
      </c>
      <c r="C53" s="16" t="s">
        <v>123</v>
      </c>
      <c r="D53" s="16" t="s">
        <v>123</v>
      </c>
      <c r="E53" s="49">
        <v>0</v>
      </c>
      <c r="F53" s="49"/>
      <c r="G53" s="16"/>
      <c r="H53" s="29">
        <v>0</v>
      </c>
    </row>
    <row r="54" spans="1:8">
      <c r="A54" s="57">
        <v>513</v>
      </c>
      <c r="B54" s="57" t="s">
        <v>301</v>
      </c>
      <c r="C54" s="28" t="s">
        <v>86</v>
      </c>
      <c r="D54" s="29" t="s">
        <v>5</v>
      </c>
      <c r="E54" s="54">
        <v>1043.8643176840783</v>
      </c>
      <c r="F54" s="62">
        <v>99</v>
      </c>
      <c r="G54" s="28"/>
      <c r="H54" s="29">
        <v>0</v>
      </c>
    </row>
    <row r="55" spans="1:8">
      <c r="A55" s="57">
        <v>498</v>
      </c>
      <c r="B55" s="57" t="s">
        <v>114</v>
      </c>
      <c r="C55" s="28" t="s">
        <v>65</v>
      </c>
      <c r="D55" s="29" t="s">
        <v>5</v>
      </c>
      <c r="E55" s="54">
        <v>782.89823826305872</v>
      </c>
      <c r="F55" s="62"/>
      <c r="G55" s="28"/>
      <c r="H55" s="29">
        <v>0</v>
      </c>
    </row>
    <row r="56" spans="1:8">
      <c r="A56" s="57">
        <v>441</v>
      </c>
      <c r="B56" s="57" t="s">
        <v>43</v>
      </c>
      <c r="C56" s="28" t="s">
        <v>133</v>
      </c>
      <c r="D56" s="29" t="s">
        <v>5</v>
      </c>
      <c r="E56" s="54">
        <v>0</v>
      </c>
      <c r="F56" s="62">
        <v>623</v>
      </c>
      <c r="G56" s="28"/>
      <c r="H56" s="29">
        <v>0</v>
      </c>
    </row>
    <row r="57" spans="1:8" hidden="1">
      <c r="A57" s="16" t="s">
        <v>123</v>
      </c>
      <c r="B57" s="16" t="s">
        <v>123</v>
      </c>
      <c r="C57" s="16" t="s">
        <v>123</v>
      </c>
      <c r="D57" s="16" t="s">
        <v>123</v>
      </c>
      <c r="E57" s="65">
        <v>0</v>
      </c>
      <c r="F57" s="65"/>
      <c r="G57" s="16"/>
      <c r="H57" s="29" t="s">
        <v>123</v>
      </c>
    </row>
    <row r="58" spans="1:8">
      <c r="A58" s="16"/>
      <c r="B58" s="16"/>
      <c r="C58" s="16"/>
      <c r="D58" s="16"/>
      <c r="E58" s="65"/>
      <c r="F58" s="65"/>
      <c r="G58" s="16"/>
      <c r="H58" s="16"/>
    </row>
    <row r="59" spans="1:8" ht="18.75">
      <c r="C59" s="72"/>
      <c r="E59" s="68"/>
      <c r="F59" s="68"/>
    </row>
    <row r="60" spans="1:8" ht="18.75">
      <c r="C60" s="73" t="s">
        <v>284</v>
      </c>
      <c r="E60" s="68"/>
      <c r="F60" s="68"/>
    </row>
    <row r="61" spans="1:8">
      <c r="E61" s="68"/>
      <c r="F61" s="68"/>
    </row>
    <row r="62" spans="1:8">
      <c r="E62" s="68"/>
      <c r="F62" s="68"/>
    </row>
    <row r="63" spans="1:8">
      <c r="E63" s="68"/>
      <c r="F63" s="68"/>
    </row>
    <row r="64" spans="1:8">
      <c r="E64" s="68"/>
      <c r="F64" s="68"/>
    </row>
  </sheetData>
  <autoFilter ref="A5:H57">
    <filterColumn colId="3">
      <filters>
        <filter val="REG"/>
      </filters>
    </filterColumn>
    <sortState ref="A7:H56">
      <sortCondition ref="B5:B57"/>
    </sortState>
  </autoFilter>
  <pageMargins left="0.511811024" right="0.511811024" top="0.78740157499999996" bottom="0.78740157499999996" header="0.31496062000000002" footer="0.31496062000000002"/>
  <pageSetup paperSize="9" scale="9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sheetPr filterMode="1"/>
  <dimension ref="A1:J51"/>
  <sheetViews>
    <sheetView view="pageBreakPreview" topLeftCell="A3" zoomScale="60" workbookViewId="0">
      <selection activeCell="B52" sqref="B52"/>
    </sheetView>
  </sheetViews>
  <sheetFormatPr defaultRowHeight="15"/>
  <cols>
    <col min="1" max="1" width="6.85546875" customWidth="1"/>
    <col min="2" max="2" width="33.28515625" customWidth="1"/>
    <col min="3" max="3" width="3.28515625" customWidth="1"/>
    <col min="4" max="4" width="3.85546875" customWidth="1"/>
    <col min="5" max="6" width="14.28515625" customWidth="1"/>
    <col min="8" max="8" width="9.7109375" bestFit="1" customWidth="1"/>
  </cols>
  <sheetData>
    <row r="1" spans="1:9" ht="15.75" thickBot="1"/>
    <row r="2" spans="1:9" ht="21.75" thickBot="1">
      <c r="A2" s="1"/>
      <c r="B2" s="2"/>
      <c r="C2" s="3" t="s">
        <v>0</v>
      </c>
      <c r="D2" s="2"/>
      <c r="E2" s="2"/>
      <c r="F2" s="4"/>
      <c r="G2" s="33"/>
      <c r="H2" s="33"/>
    </row>
    <row r="3" spans="1:9" ht="15.75">
      <c r="A3" s="5"/>
      <c r="B3" s="6" t="s">
        <v>1</v>
      </c>
      <c r="C3" s="7">
        <f>'Comissão Salao'!C3</f>
        <v>46174</v>
      </c>
      <c r="D3" s="8"/>
      <c r="E3" s="8"/>
      <c r="F3" s="8"/>
      <c r="G3" s="33"/>
      <c r="H3" s="34"/>
    </row>
    <row r="4" spans="1:9" ht="15.75">
      <c r="A4" s="9"/>
      <c r="B4" s="10"/>
      <c r="C4" s="11"/>
      <c r="D4" s="12"/>
      <c r="E4" s="12"/>
      <c r="F4" s="12"/>
      <c r="G4" s="34"/>
      <c r="H4" s="34"/>
    </row>
    <row r="5" spans="1:9" ht="30">
      <c r="A5" s="13" t="s">
        <v>2</v>
      </c>
      <c r="B5" s="14" t="s">
        <v>3</v>
      </c>
      <c r="C5" s="14" t="s">
        <v>4</v>
      </c>
      <c r="D5" s="15" t="s">
        <v>5</v>
      </c>
      <c r="E5" s="15" t="s">
        <v>6</v>
      </c>
      <c r="F5" s="32" t="s">
        <v>8</v>
      </c>
      <c r="G5" s="44" t="s">
        <v>64</v>
      </c>
      <c r="H5" s="44" t="s">
        <v>63</v>
      </c>
      <c r="I5" s="35"/>
    </row>
    <row r="6" spans="1:9" hidden="1">
      <c r="A6" s="57" t="s">
        <v>123</v>
      </c>
      <c r="B6" s="58" t="s">
        <v>129</v>
      </c>
      <c r="C6" s="28"/>
      <c r="D6" s="28"/>
      <c r="E6" s="54">
        <v>0</v>
      </c>
      <c r="F6" s="62"/>
      <c r="G6" s="28"/>
      <c r="H6" s="29" t="s">
        <v>123</v>
      </c>
    </row>
    <row r="7" spans="1:9">
      <c r="A7" s="57">
        <v>370</v>
      </c>
      <c r="B7" s="57" t="s">
        <v>88</v>
      </c>
      <c r="C7" s="28" t="s">
        <v>51</v>
      </c>
      <c r="D7" s="29" t="s">
        <v>5</v>
      </c>
      <c r="E7" s="54">
        <v>1200.0076010075568</v>
      </c>
      <c r="F7" s="62"/>
      <c r="G7" s="28"/>
      <c r="H7" s="29">
        <v>0</v>
      </c>
    </row>
    <row r="8" spans="1:9" hidden="1">
      <c r="A8" s="57">
        <v>518</v>
      </c>
      <c r="B8" s="57" t="s">
        <v>384</v>
      </c>
      <c r="C8" s="28" t="s">
        <v>404</v>
      </c>
      <c r="D8" s="29" t="s">
        <v>266</v>
      </c>
      <c r="E8" s="54">
        <v>525.00332544080607</v>
      </c>
      <c r="F8" s="62">
        <v>149</v>
      </c>
      <c r="G8" s="28"/>
      <c r="H8" s="29">
        <v>0</v>
      </c>
    </row>
    <row r="9" spans="1:9">
      <c r="A9" s="57">
        <v>198</v>
      </c>
      <c r="B9" s="57" t="s">
        <v>24</v>
      </c>
      <c r="C9" s="28" t="s">
        <v>53</v>
      </c>
      <c r="D9" s="29" t="s">
        <v>5</v>
      </c>
      <c r="E9" s="54">
        <v>450.00285037783379</v>
      </c>
      <c r="F9" s="62"/>
      <c r="G9" s="28"/>
      <c r="H9" s="29">
        <v>0</v>
      </c>
    </row>
    <row r="10" spans="1:9">
      <c r="A10" s="57">
        <v>54</v>
      </c>
      <c r="B10" s="57" t="s">
        <v>25</v>
      </c>
      <c r="C10" s="28" t="s">
        <v>49</v>
      </c>
      <c r="D10" s="29" t="s">
        <v>5</v>
      </c>
      <c r="E10" s="54">
        <v>3750.023753148615</v>
      </c>
      <c r="F10" s="62">
        <v>1122</v>
      </c>
      <c r="G10" s="28"/>
      <c r="H10" s="29">
        <v>0</v>
      </c>
    </row>
    <row r="11" spans="1:9" hidden="1">
      <c r="A11" s="57" t="s">
        <v>123</v>
      </c>
      <c r="B11" s="58" t="s">
        <v>130</v>
      </c>
      <c r="C11" s="28" t="s">
        <v>123</v>
      </c>
      <c r="D11" s="29"/>
      <c r="E11" s="54">
        <v>0</v>
      </c>
      <c r="F11" s="62"/>
      <c r="G11" s="28"/>
      <c r="H11" s="29">
        <v>0</v>
      </c>
    </row>
    <row r="12" spans="1:9">
      <c r="A12" s="57">
        <v>186</v>
      </c>
      <c r="B12" s="57" t="s">
        <v>26</v>
      </c>
      <c r="C12" s="28" t="s">
        <v>51</v>
      </c>
      <c r="D12" s="29" t="s">
        <v>5</v>
      </c>
      <c r="E12" s="54">
        <v>1200.0076010075568</v>
      </c>
      <c r="F12" s="62"/>
      <c r="G12" s="28"/>
      <c r="H12" s="29">
        <v>0</v>
      </c>
    </row>
    <row r="13" spans="1:9">
      <c r="A13" s="57">
        <v>358</v>
      </c>
      <c r="B13" s="57" t="s">
        <v>85</v>
      </c>
      <c r="C13" s="28" t="s">
        <v>55</v>
      </c>
      <c r="D13" s="29" t="s">
        <v>5</v>
      </c>
      <c r="E13" s="54">
        <v>300.0019002518892</v>
      </c>
      <c r="F13" s="62">
        <v>524</v>
      </c>
      <c r="G13" s="28"/>
      <c r="H13" s="29">
        <v>0</v>
      </c>
    </row>
    <row r="14" spans="1:9">
      <c r="A14" s="57">
        <v>449</v>
      </c>
      <c r="B14" s="57" t="s">
        <v>135</v>
      </c>
      <c r="C14" s="28" t="s">
        <v>136</v>
      </c>
      <c r="D14" s="29" t="s">
        <v>5</v>
      </c>
      <c r="E14" s="54">
        <v>534.00380050377839</v>
      </c>
      <c r="F14" s="62">
        <v>99</v>
      </c>
      <c r="G14" s="28"/>
      <c r="H14" s="29">
        <v>0</v>
      </c>
    </row>
    <row r="15" spans="1:9">
      <c r="A15" s="57">
        <v>259</v>
      </c>
      <c r="B15" s="57" t="s">
        <v>47</v>
      </c>
      <c r="C15" s="28" t="s">
        <v>51</v>
      </c>
      <c r="D15" s="29" t="s">
        <v>5</v>
      </c>
      <c r="E15" s="54">
        <v>1200.0076010075568</v>
      </c>
      <c r="F15" s="62">
        <v>349</v>
      </c>
      <c r="G15" s="28"/>
      <c r="H15" s="29">
        <v>0</v>
      </c>
    </row>
    <row r="16" spans="1:9">
      <c r="A16" s="57">
        <v>399</v>
      </c>
      <c r="B16" s="57" t="s">
        <v>101</v>
      </c>
      <c r="C16" s="28" t="s">
        <v>102</v>
      </c>
      <c r="D16" s="29" t="s">
        <v>5</v>
      </c>
      <c r="E16" s="54">
        <v>0</v>
      </c>
      <c r="F16" s="62">
        <v>100</v>
      </c>
      <c r="G16" s="28"/>
      <c r="H16" s="29">
        <v>0</v>
      </c>
    </row>
    <row r="17" spans="1:10">
      <c r="A17" s="57">
        <v>445</v>
      </c>
      <c r="B17" s="57" t="s">
        <v>119</v>
      </c>
      <c r="C17" s="28" t="s">
        <v>99</v>
      </c>
      <c r="D17" s="29" t="s">
        <v>5</v>
      </c>
      <c r="E17" s="54">
        <v>600.00380050377839</v>
      </c>
      <c r="F17" s="62">
        <v>99</v>
      </c>
      <c r="G17" s="28"/>
      <c r="H17" s="29">
        <v>0</v>
      </c>
    </row>
    <row r="18" spans="1:10">
      <c r="A18" s="57">
        <v>496</v>
      </c>
      <c r="B18" s="57" t="s">
        <v>276</v>
      </c>
      <c r="C18" s="28" t="s">
        <v>136</v>
      </c>
      <c r="D18" s="29" t="s">
        <v>5</v>
      </c>
      <c r="E18" s="54">
        <v>600.00380050377839</v>
      </c>
      <c r="F18" s="62">
        <v>524</v>
      </c>
      <c r="G18" s="28"/>
      <c r="H18" s="29">
        <v>0</v>
      </c>
    </row>
    <row r="19" spans="1:10">
      <c r="A19" s="57">
        <v>481</v>
      </c>
      <c r="B19" s="57" t="s">
        <v>165</v>
      </c>
      <c r="C19" s="28" t="s">
        <v>55</v>
      </c>
      <c r="D19" s="29" t="s">
        <v>5</v>
      </c>
      <c r="E19" s="54">
        <v>300.0019002518892</v>
      </c>
      <c r="F19" s="62">
        <v>199</v>
      </c>
      <c r="G19" s="28"/>
      <c r="H19" s="29">
        <v>0</v>
      </c>
    </row>
    <row r="20" spans="1:10">
      <c r="A20" s="57">
        <v>174</v>
      </c>
      <c r="B20" s="57" t="s">
        <v>31</v>
      </c>
      <c r="C20" s="28" t="s">
        <v>58</v>
      </c>
      <c r="D20" s="29" t="s">
        <v>5</v>
      </c>
      <c r="E20" s="54">
        <v>0</v>
      </c>
      <c r="F20" s="62"/>
      <c r="G20" s="28" t="s">
        <v>293</v>
      </c>
      <c r="H20" s="29">
        <v>0</v>
      </c>
    </row>
    <row r="21" spans="1:10">
      <c r="A21" s="57">
        <v>506</v>
      </c>
      <c r="B21" s="57" t="s">
        <v>282</v>
      </c>
      <c r="C21" s="28" t="s">
        <v>55</v>
      </c>
      <c r="D21" s="29" t="s">
        <v>5</v>
      </c>
      <c r="E21" s="54">
        <v>300.0019002518892</v>
      </c>
      <c r="F21" s="62">
        <v>99</v>
      </c>
      <c r="G21" s="28"/>
      <c r="H21" s="29">
        <v>0</v>
      </c>
    </row>
    <row r="22" spans="1:10">
      <c r="A22" s="57">
        <v>374</v>
      </c>
      <c r="B22" s="57" t="s">
        <v>90</v>
      </c>
      <c r="C22" s="28" t="s">
        <v>91</v>
      </c>
      <c r="D22" s="29" t="s">
        <v>5</v>
      </c>
      <c r="E22" s="54">
        <v>900.00570075566759</v>
      </c>
      <c r="F22" s="62">
        <v>99</v>
      </c>
      <c r="G22" s="28"/>
      <c r="H22" s="29">
        <v>0</v>
      </c>
    </row>
    <row r="23" spans="1:10">
      <c r="A23" s="57">
        <v>485</v>
      </c>
      <c r="B23" s="57" t="s">
        <v>270</v>
      </c>
      <c r="C23" s="28" t="s">
        <v>164</v>
      </c>
      <c r="D23" s="29" t="s">
        <v>5</v>
      </c>
      <c r="E23" s="54">
        <v>3000.0190025188922</v>
      </c>
      <c r="F23" s="62">
        <v>619</v>
      </c>
      <c r="G23" s="28"/>
      <c r="H23" s="29">
        <v>0</v>
      </c>
      <c r="J23" s="52"/>
    </row>
    <row r="24" spans="1:10">
      <c r="A24" s="57">
        <v>446</v>
      </c>
      <c r="B24" s="57" t="s">
        <v>120</v>
      </c>
      <c r="C24" s="28" t="s">
        <v>55</v>
      </c>
      <c r="D24" s="29" t="s">
        <v>5</v>
      </c>
      <c r="E24" s="54">
        <v>300.0019002518892</v>
      </c>
      <c r="F24" s="62">
        <v>99</v>
      </c>
      <c r="G24" s="28"/>
      <c r="H24" s="29">
        <v>0</v>
      </c>
    </row>
    <row r="25" spans="1:10">
      <c r="A25" s="57">
        <v>510</v>
      </c>
      <c r="B25" s="57" t="s">
        <v>299</v>
      </c>
      <c r="C25" s="28" t="s">
        <v>102</v>
      </c>
      <c r="D25" s="29" t="s">
        <v>5</v>
      </c>
      <c r="E25" s="54">
        <v>300.0019002518892</v>
      </c>
      <c r="F25" s="62">
        <v>249</v>
      </c>
      <c r="G25" s="28"/>
      <c r="H25" s="29">
        <v>0</v>
      </c>
    </row>
    <row r="26" spans="1:10">
      <c r="A26" s="57">
        <v>372</v>
      </c>
      <c r="B26" s="57" t="s">
        <v>89</v>
      </c>
      <c r="C26" s="28" t="s">
        <v>285</v>
      </c>
      <c r="D26" s="29" t="s">
        <v>5</v>
      </c>
      <c r="E26" s="54">
        <v>0</v>
      </c>
      <c r="F26" s="62">
        <v>149</v>
      </c>
      <c r="G26" s="28"/>
      <c r="H26" s="29">
        <v>0</v>
      </c>
    </row>
    <row r="27" spans="1:10" hidden="1">
      <c r="A27" s="57">
        <v>516</v>
      </c>
      <c r="B27" s="57" t="s">
        <v>304</v>
      </c>
      <c r="C27" s="28" t="s">
        <v>136</v>
      </c>
      <c r="D27" s="29" t="s">
        <v>266</v>
      </c>
      <c r="E27" s="54">
        <v>600.00380050377839</v>
      </c>
      <c r="F27" s="62"/>
      <c r="G27" s="28"/>
      <c r="H27" s="29">
        <v>0</v>
      </c>
    </row>
    <row r="28" spans="1:10">
      <c r="A28" s="57">
        <v>256</v>
      </c>
      <c r="B28" s="57" t="s">
        <v>46</v>
      </c>
      <c r="C28" s="28" t="s">
        <v>81</v>
      </c>
      <c r="D28" s="29" t="s">
        <v>5</v>
      </c>
      <c r="E28" s="54">
        <v>1800.0114015113352</v>
      </c>
      <c r="F28" s="62">
        <v>99</v>
      </c>
      <c r="G28" s="28"/>
      <c r="H28" s="29">
        <v>0</v>
      </c>
    </row>
    <row r="29" spans="1:10">
      <c r="A29" s="57">
        <v>229</v>
      </c>
      <c r="B29" s="57" t="s">
        <v>44</v>
      </c>
      <c r="C29" s="28" t="s">
        <v>104</v>
      </c>
      <c r="D29" s="29" t="s">
        <v>5</v>
      </c>
      <c r="E29" s="54">
        <v>0</v>
      </c>
      <c r="F29" s="62">
        <v>121</v>
      </c>
      <c r="G29" s="28"/>
      <c r="H29" s="29">
        <v>0</v>
      </c>
    </row>
    <row r="30" spans="1:10">
      <c r="A30" s="57">
        <v>187</v>
      </c>
      <c r="B30" s="57" t="s">
        <v>37</v>
      </c>
      <c r="C30" s="28" t="s">
        <v>52</v>
      </c>
      <c r="D30" s="29" t="s">
        <v>5</v>
      </c>
      <c r="E30" s="54">
        <v>1500.0095012594461</v>
      </c>
      <c r="F30" s="62">
        <v>349</v>
      </c>
      <c r="G30" s="28"/>
      <c r="H30" s="29">
        <v>0</v>
      </c>
    </row>
    <row r="31" spans="1:10">
      <c r="A31" s="57">
        <v>321</v>
      </c>
      <c r="B31" s="57" t="s">
        <v>77</v>
      </c>
      <c r="C31" s="28" t="s">
        <v>51</v>
      </c>
      <c r="D31" s="29" t="s">
        <v>5</v>
      </c>
      <c r="E31" s="54">
        <v>1200.0076010075568</v>
      </c>
      <c r="F31" s="62"/>
      <c r="G31" s="28"/>
      <c r="H31" s="29">
        <v>0</v>
      </c>
    </row>
    <row r="32" spans="1:10" hidden="1">
      <c r="A32" s="57" t="s">
        <v>123</v>
      </c>
      <c r="B32" s="57" t="s">
        <v>131</v>
      </c>
      <c r="C32" s="28" t="s">
        <v>123</v>
      </c>
      <c r="D32" s="29" t="s">
        <v>123</v>
      </c>
      <c r="E32" s="54">
        <v>0</v>
      </c>
      <c r="F32" s="62"/>
      <c r="G32" s="28"/>
      <c r="H32" s="29" t="s">
        <v>123</v>
      </c>
    </row>
    <row r="33" spans="1:8" hidden="1">
      <c r="A33" s="57" t="s">
        <v>123</v>
      </c>
      <c r="B33" s="57" t="s">
        <v>123</v>
      </c>
      <c r="C33" s="28" t="s">
        <v>123</v>
      </c>
      <c r="D33" s="29" t="s">
        <v>123</v>
      </c>
      <c r="E33" s="54">
        <v>0</v>
      </c>
      <c r="F33" s="62"/>
      <c r="G33" s="28"/>
      <c r="H33" s="29" t="s">
        <v>123</v>
      </c>
    </row>
    <row r="34" spans="1:8" hidden="1">
      <c r="A34" s="57" t="s">
        <v>123</v>
      </c>
      <c r="B34" s="57" t="s">
        <v>123</v>
      </c>
      <c r="C34" s="28" t="s">
        <v>123</v>
      </c>
      <c r="D34" s="29" t="s">
        <v>123</v>
      </c>
      <c r="E34" s="54">
        <v>0</v>
      </c>
      <c r="F34" s="62"/>
      <c r="G34" s="28"/>
      <c r="H34" s="29" t="s">
        <v>123</v>
      </c>
    </row>
    <row r="35" spans="1:8">
      <c r="A35" s="57">
        <v>311</v>
      </c>
      <c r="B35" s="57" t="s">
        <v>75</v>
      </c>
      <c r="C35" s="28" t="s">
        <v>98</v>
      </c>
      <c r="D35" s="29" t="s">
        <v>5</v>
      </c>
      <c r="E35" s="54">
        <v>1050.0066508816121</v>
      </c>
      <c r="F35" s="62">
        <v>299</v>
      </c>
      <c r="G35" s="28"/>
      <c r="H35" s="29">
        <v>0</v>
      </c>
    </row>
    <row r="36" spans="1:8">
      <c r="A36" s="57">
        <v>369</v>
      </c>
      <c r="B36" s="57" t="s">
        <v>87</v>
      </c>
      <c r="C36" s="28" t="s">
        <v>51</v>
      </c>
      <c r="D36" s="29" t="s">
        <v>5</v>
      </c>
      <c r="E36" s="54">
        <v>0</v>
      </c>
      <c r="F36" s="62">
        <v>150</v>
      </c>
      <c r="G36" s="28"/>
      <c r="H36" s="29">
        <v>0</v>
      </c>
    </row>
    <row r="37" spans="1:8">
      <c r="A37" s="57">
        <v>253</v>
      </c>
      <c r="B37" s="57" t="s">
        <v>45</v>
      </c>
      <c r="C37" s="28" t="s">
        <v>54</v>
      </c>
      <c r="D37" s="29" t="s">
        <v>5</v>
      </c>
      <c r="E37" s="54">
        <v>600.00380050377839</v>
      </c>
      <c r="F37" s="62"/>
      <c r="G37" s="28"/>
      <c r="H37" s="29">
        <v>0</v>
      </c>
    </row>
    <row r="38" spans="1:8">
      <c r="A38" s="57">
        <v>464</v>
      </c>
      <c r="B38" s="57" t="s">
        <v>148</v>
      </c>
      <c r="C38" s="28" t="s">
        <v>102</v>
      </c>
      <c r="D38" s="29" t="s">
        <v>5</v>
      </c>
      <c r="E38" s="54">
        <v>300.0019002518892</v>
      </c>
      <c r="F38" s="62"/>
      <c r="G38" s="28"/>
      <c r="H38" s="29">
        <v>0</v>
      </c>
    </row>
    <row r="39" spans="1:8">
      <c r="A39" s="57">
        <v>331</v>
      </c>
      <c r="B39" s="57" t="s">
        <v>78</v>
      </c>
      <c r="C39" s="28" t="s">
        <v>146</v>
      </c>
      <c r="D39" s="29" t="s">
        <v>5</v>
      </c>
      <c r="E39" s="54">
        <v>0</v>
      </c>
      <c r="F39" s="62"/>
      <c r="G39" s="28" t="s">
        <v>305</v>
      </c>
      <c r="H39" s="29">
        <v>0</v>
      </c>
    </row>
    <row r="40" spans="1:8">
      <c r="A40" s="57">
        <v>483</v>
      </c>
      <c r="B40" s="57" t="s">
        <v>167</v>
      </c>
      <c r="C40" s="28" t="s">
        <v>104</v>
      </c>
      <c r="D40" s="29" t="s">
        <v>5</v>
      </c>
      <c r="E40" s="54">
        <v>986.00665088161213</v>
      </c>
      <c r="F40" s="62">
        <v>199</v>
      </c>
      <c r="G40" s="28"/>
      <c r="H40" s="29">
        <v>0</v>
      </c>
    </row>
    <row r="41" spans="1:8">
      <c r="A41" s="57">
        <v>203</v>
      </c>
      <c r="B41" s="57" t="s">
        <v>42</v>
      </c>
      <c r="C41" s="28" t="s">
        <v>54</v>
      </c>
      <c r="D41" s="29" t="s">
        <v>5</v>
      </c>
      <c r="E41" s="54">
        <v>600.00380050377839</v>
      </c>
      <c r="F41" s="62"/>
      <c r="G41" s="28"/>
      <c r="H41" s="29">
        <v>0</v>
      </c>
    </row>
    <row r="42" spans="1:8" hidden="1">
      <c r="A42" s="57">
        <v>515</v>
      </c>
      <c r="B42" s="57" t="s">
        <v>303</v>
      </c>
      <c r="C42" s="28" t="s">
        <v>55</v>
      </c>
      <c r="D42" s="29" t="s">
        <v>266</v>
      </c>
      <c r="E42" s="54">
        <v>300.0019002518892</v>
      </c>
      <c r="F42" s="62">
        <v>99</v>
      </c>
      <c r="G42" s="28"/>
      <c r="H42" s="29">
        <v>0</v>
      </c>
    </row>
    <row r="43" spans="1:8" hidden="1">
      <c r="A43" s="57" t="s">
        <v>123</v>
      </c>
      <c r="B43" s="57" t="s">
        <v>123</v>
      </c>
      <c r="C43" s="28" t="s">
        <v>123</v>
      </c>
      <c r="D43" s="29" t="s">
        <v>123</v>
      </c>
      <c r="E43" s="54">
        <v>0</v>
      </c>
      <c r="F43" s="62"/>
      <c r="G43" s="28"/>
      <c r="H43" s="29" t="s">
        <v>123</v>
      </c>
    </row>
    <row r="44" spans="1:8" hidden="1">
      <c r="A44" s="57" t="s">
        <v>123</v>
      </c>
      <c r="B44" s="58" t="s">
        <v>132</v>
      </c>
      <c r="C44" s="28" t="s">
        <v>123</v>
      </c>
      <c r="D44" s="29" t="s">
        <v>123</v>
      </c>
      <c r="E44" s="54">
        <v>0</v>
      </c>
      <c r="F44" s="62"/>
      <c r="G44" s="28"/>
      <c r="H44" s="29">
        <v>0</v>
      </c>
    </row>
    <row r="45" spans="1:8">
      <c r="A45" s="57">
        <v>514</v>
      </c>
      <c r="B45" s="57" t="s">
        <v>302</v>
      </c>
      <c r="C45" s="28" t="s">
        <v>136</v>
      </c>
      <c r="D45" s="29" t="s">
        <v>5</v>
      </c>
      <c r="E45" s="54">
        <v>600.00380050377839</v>
      </c>
      <c r="F45" s="62">
        <v>99</v>
      </c>
      <c r="G45" s="28"/>
      <c r="H45" s="29">
        <v>0</v>
      </c>
    </row>
    <row r="46" spans="1:8">
      <c r="A46" s="57">
        <v>452</v>
      </c>
      <c r="B46" s="57" t="s">
        <v>138</v>
      </c>
      <c r="C46" s="28" t="s">
        <v>55</v>
      </c>
      <c r="D46" s="29" t="s">
        <v>5</v>
      </c>
      <c r="E46" s="54">
        <v>300.0019002518892</v>
      </c>
      <c r="F46" s="62">
        <v>199</v>
      </c>
      <c r="G46" s="28"/>
      <c r="H46" s="29">
        <v>0</v>
      </c>
    </row>
    <row r="47" spans="1:8">
      <c r="A47" s="57">
        <v>402</v>
      </c>
      <c r="B47" s="57" t="s">
        <v>103</v>
      </c>
      <c r="C47" s="28" t="s">
        <v>285</v>
      </c>
      <c r="D47" s="29" t="s">
        <v>5</v>
      </c>
      <c r="E47" s="54">
        <v>1350.0085511335014</v>
      </c>
      <c r="F47" s="62">
        <v>599</v>
      </c>
      <c r="G47" s="28"/>
      <c r="H47" s="29">
        <v>0</v>
      </c>
    </row>
    <row r="48" spans="1:8" hidden="1">
      <c r="A48" s="16"/>
      <c r="B48" s="67"/>
      <c r="C48" s="28"/>
      <c r="D48" s="29"/>
      <c r="E48" s="16"/>
      <c r="F48" s="16"/>
      <c r="G48" s="16"/>
      <c r="H48" s="16"/>
    </row>
    <row r="49" spans="1:8">
      <c r="A49" s="16"/>
      <c r="B49" s="16"/>
      <c r="C49" s="16"/>
      <c r="D49" s="16"/>
      <c r="E49" s="16"/>
      <c r="F49" s="16"/>
      <c r="G49" s="16"/>
      <c r="H49" s="16"/>
    </row>
    <row r="50" spans="1:8">
      <c r="A50" s="16"/>
      <c r="B50" s="16"/>
      <c r="C50" s="16"/>
      <c r="D50" s="16"/>
      <c r="E50" s="16"/>
      <c r="F50" s="16"/>
      <c r="G50" s="16"/>
      <c r="H50" s="16"/>
    </row>
    <row r="51" spans="1:8" ht="15.75">
      <c r="A51" s="16"/>
      <c r="B51" s="16"/>
      <c r="C51" s="74" t="s">
        <v>286</v>
      </c>
      <c r="D51" s="16"/>
      <c r="E51" s="16"/>
      <c r="F51" s="16"/>
      <c r="G51" s="16"/>
      <c r="H51" s="16"/>
    </row>
  </sheetData>
  <autoFilter ref="A5:I48">
    <filterColumn colId="3">
      <filters>
        <filter val="REG"/>
      </filters>
    </filterColumn>
    <sortState ref="A7:I47">
      <sortCondition ref="B5:B48"/>
    </sortState>
  </autoFilter>
  <pageMargins left="0.511811024" right="0.511811024" top="0.78740157499999996" bottom="0.78740157499999996" header="0.31496062000000002" footer="0.31496062000000002"/>
  <pageSetup paperSize="9" scale="9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2:AD104"/>
  <sheetViews>
    <sheetView workbookViewId="0">
      <pane ySplit="3" topLeftCell="A36" activePane="bottomLeft" state="frozen"/>
      <selection pane="bottomLeft" activeCell="F42" sqref="F42"/>
    </sheetView>
  </sheetViews>
  <sheetFormatPr defaultRowHeight="15"/>
  <cols>
    <col min="1" max="1" width="5.140625" customWidth="1"/>
    <col min="2" max="2" width="28.140625" customWidth="1"/>
    <col min="3" max="3" width="12.5703125" customWidth="1"/>
    <col min="4" max="4" width="18.85546875" customWidth="1"/>
    <col min="5" max="5" width="31.140625" customWidth="1"/>
    <col min="6" max="6" width="7.7109375" customWidth="1"/>
    <col min="7" max="7" width="33.28515625" customWidth="1"/>
    <col min="8" max="8" width="15.140625" customWidth="1"/>
    <col min="9" max="9" width="9.85546875" customWidth="1"/>
    <col min="10" max="10" width="14.28515625" customWidth="1"/>
    <col min="11" max="11" width="11" customWidth="1"/>
    <col min="13" max="13" width="14.7109375" customWidth="1"/>
    <col min="14" max="14" width="24.42578125" customWidth="1"/>
    <col min="15" max="15" width="30.28515625" customWidth="1"/>
    <col min="16" max="17" width="6.42578125" customWidth="1"/>
    <col min="18" max="18" width="30.140625" customWidth="1"/>
    <col min="19" max="19" width="12.42578125" customWidth="1"/>
    <col min="20" max="21" width="12.28515625" customWidth="1"/>
    <col min="24" max="24" width="13.85546875" customWidth="1"/>
    <col min="27" max="27" width="11.28515625" customWidth="1"/>
  </cols>
  <sheetData>
    <row r="2" spans="1:30">
      <c r="B2" t="s">
        <v>16</v>
      </c>
      <c r="G2" t="s">
        <v>17</v>
      </c>
      <c r="P2" t="s">
        <v>18</v>
      </c>
    </row>
    <row r="3" spans="1:30" ht="60">
      <c r="A3" s="18" t="s">
        <v>9</v>
      </c>
      <c r="B3" s="18" t="s">
        <v>10</v>
      </c>
      <c r="C3" s="18" t="s">
        <v>5</v>
      </c>
      <c r="D3" s="24" t="s">
        <v>15</v>
      </c>
      <c r="E3" s="24" t="s">
        <v>19</v>
      </c>
      <c r="F3" s="20" t="s">
        <v>2</v>
      </c>
      <c r="G3" s="14" t="s">
        <v>3</v>
      </c>
      <c r="H3" s="14" t="s">
        <v>4</v>
      </c>
      <c r="I3" s="15" t="s">
        <v>5</v>
      </c>
      <c r="J3" s="15" t="s">
        <v>6</v>
      </c>
      <c r="K3" s="66" t="s">
        <v>267</v>
      </c>
      <c r="L3" s="66"/>
      <c r="M3" s="66"/>
      <c r="N3" s="66" t="s">
        <v>268</v>
      </c>
      <c r="O3" s="66" t="s">
        <v>269</v>
      </c>
      <c r="P3" s="39" t="s">
        <v>20</v>
      </c>
      <c r="Q3" s="39" t="s">
        <v>21</v>
      </c>
      <c r="R3" s="39" t="s">
        <v>10</v>
      </c>
      <c r="S3" s="39" t="s">
        <v>22</v>
      </c>
      <c r="T3" s="40" t="s">
        <v>23</v>
      </c>
      <c r="U3" s="40" t="s">
        <v>68</v>
      </c>
      <c r="V3" s="40" t="s">
        <v>69</v>
      </c>
      <c r="W3" s="40" t="s">
        <v>70</v>
      </c>
      <c r="X3" s="36" t="s">
        <v>71</v>
      </c>
      <c r="Y3" s="36" t="s">
        <v>72</v>
      </c>
      <c r="Z3" s="37" t="s">
        <v>73</v>
      </c>
      <c r="AA3" s="38" t="s">
        <v>74</v>
      </c>
    </row>
    <row r="4" spans="1:30">
      <c r="A4" s="26">
        <v>370</v>
      </c>
      <c r="B4" s="27" t="s">
        <v>88</v>
      </c>
      <c r="C4" s="26" t="s">
        <v>5</v>
      </c>
      <c r="D4" t="str">
        <f>VLOOKUP(A4,$F$4:$I$100,2,FALSE)</f>
        <v>Adriane Rodrigues da Silva</v>
      </c>
      <c r="E4" t="str">
        <f>VLOOKUP(A4,$P$4:$R$80,3,FALSE)</f>
        <v>Adriane Rodrigues da Silva</v>
      </c>
      <c r="F4" s="16">
        <v>13</v>
      </c>
      <c r="G4" s="16" t="s">
        <v>29</v>
      </c>
      <c r="H4" s="16" t="s">
        <v>48</v>
      </c>
      <c r="I4" s="16"/>
      <c r="J4" s="63"/>
      <c r="K4" t="str">
        <f>VLOOKUP(F4,$A$4:$C$80,2,FALSE)</f>
        <v>Cicero Rocha</v>
      </c>
      <c r="N4" t="str">
        <f>VLOOKUP(P4,$A$4:$D$80,2,FALSE)</f>
        <v>Cicero Rocha</v>
      </c>
      <c r="O4" t="str">
        <f>VLOOKUP(P4,$F$4:$H$100,2,FALSE)</f>
        <v>Cicero Rocha</v>
      </c>
      <c r="P4" s="28">
        <v>13</v>
      </c>
      <c r="Q4" s="28"/>
      <c r="R4" s="28" t="s">
        <v>29</v>
      </c>
      <c r="S4" s="28" t="s">
        <v>48</v>
      </c>
      <c r="T4" s="28" t="s">
        <v>169</v>
      </c>
      <c r="U4" s="28">
        <v>25</v>
      </c>
      <c r="V4" s="28" t="s">
        <v>170</v>
      </c>
      <c r="W4" s="28" t="s">
        <v>171</v>
      </c>
      <c r="X4" s="41">
        <v>1630.25</v>
      </c>
      <c r="Y4" s="29">
        <v>41990</v>
      </c>
      <c r="Z4" s="29"/>
      <c r="AA4" s="29">
        <v>42401</v>
      </c>
      <c r="AB4">
        <v>0</v>
      </c>
      <c r="AC4" t="s">
        <v>172</v>
      </c>
      <c r="AD4" t="s">
        <v>173</v>
      </c>
    </row>
    <row r="5" spans="1:30">
      <c r="A5" s="21">
        <v>198</v>
      </c>
      <c r="B5" s="16" t="s">
        <v>24</v>
      </c>
      <c r="C5" s="21" t="s">
        <v>5</v>
      </c>
      <c r="D5" t="str">
        <f t="shared" ref="D5:D68" si="0">VLOOKUP(A5,$F$4:$I$100,2,FALSE)</f>
        <v>Adriano Alves</v>
      </c>
      <c r="E5" t="str">
        <f t="shared" ref="E5:E68" si="1">VLOOKUP(A5,$P$4:$R$80,3,FALSE)</f>
        <v>Adriano Alves</v>
      </c>
      <c r="F5" s="16">
        <v>43</v>
      </c>
      <c r="G5" s="16" t="s">
        <v>30</v>
      </c>
      <c r="H5" s="16" t="s">
        <v>113</v>
      </c>
      <c r="I5" s="16"/>
      <c r="J5" s="63"/>
      <c r="K5" t="str">
        <f t="shared" ref="K5:K68" si="2">VLOOKUP(F5,$A$4:$C$80,2,FALSE)</f>
        <v>Crispim dos Santos Nascimento</v>
      </c>
      <c r="N5" t="str">
        <f t="shared" ref="N5:N68" si="3">VLOOKUP(P5,$A$4:$D$80,2,FALSE)</f>
        <v>Crispim dos Santos Nascimento</v>
      </c>
      <c r="O5" t="str">
        <f t="shared" ref="O5:O68" si="4">VLOOKUP(P5,$F$4:$H$100,2,FALSE)</f>
        <v>Crispim dos Santos Nascimento</v>
      </c>
      <c r="P5" s="28">
        <v>43</v>
      </c>
      <c r="Q5" s="28"/>
      <c r="R5" s="28" t="s">
        <v>30</v>
      </c>
      <c r="S5" s="28" t="s">
        <v>113</v>
      </c>
      <c r="T5" s="28" t="s">
        <v>169</v>
      </c>
      <c r="U5" s="28">
        <v>10</v>
      </c>
      <c r="V5" s="28" t="s">
        <v>174</v>
      </c>
      <c r="W5" s="28" t="s">
        <v>171</v>
      </c>
      <c r="X5" s="41">
        <v>1417</v>
      </c>
      <c r="Y5" s="29">
        <v>42103</v>
      </c>
      <c r="Z5" s="29"/>
      <c r="AA5" s="29">
        <v>42205</v>
      </c>
      <c r="AB5">
        <v>0</v>
      </c>
      <c r="AC5" t="s">
        <v>172</v>
      </c>
    </row>
    <row r="6" spans="1:30">
      <c r="A6" s="26">
        <v>428</v>
      </c>
      <c r="B6" s="27" t="s">
        <v>110</v>
      </c>
      <c r="C6" s="26" t="s">
        <v>5</v>
      </c>
      <c r="D6" t="str">
        <f t="shared" si="0"/>
        <v>Adriano Sousa Pereira</v>
      </c>
      <c r="E6" t="str">
        <f t="shared" si="1"/>
        <v>Adriano Sousa Pereira</v>
      </c>
      <c r="F6" s="16">
        <v>54</v>
      </c>
      <c r="G6" s="16" t="s">
        <v>25</v>
      </c>
      <c r="H6" s="16" t="s">
        <v>49</v>
      </c>
      <c r="I6" s="16"/>
      <c r="J6" s="63"/>
      <c r="K6" t="str">
        <f t="shared" si="2"/>
        <v>Agrecio Benedito cunha</v>
      </c>
      <c r="N6" t="str">
        <f t="shared" si="3"/>
        <v>Agrecio Benedito cunha</v>
      </c>
      <c r="O6" t="str">
        <f t="shared" si="4"/>
        <v>Agrecio Benedito cunha</v>
      </c>
      <c r="P6" s="28">
        <v>54</v>
      </c>
      <c r="Q6" s="28"/>
      <c r="R6" s="28" t="s">
        <v>25</v>
      </c>
      <c r="S6" s="28" t="s">
        <v>49</v>
      </c>
      <c r="T6" s="28" t="s">
        <v>175</v>
      </c>
      <c r="U6" s="28">
        <v>25</v>
      </c>
      <c r="V6" s="28" t="s">
        <v>176</v>
      </c>
      <c r="W6" s="28" t="s">
        <v>171</v>
      </c>
      <c r="X6" s="41">
        <v>2044.08</v>
      </c>
      <c r="Y6" s="29">
        <v>42278</v>
      </c>
      <c r="Z6" s="29"/>
      <c r="AA6" s="29">
        <v>42507</v>
      </c>
      <c r="AB6">
        <v>0</v>
      </c>
      <c r="AC6" t="s">
        <v>172</v>
      </c>
      <c r="AD6" t="s">
        <v>177</v>
      </c>
    </row>
    <row r="7" spans="1:30">
      <c r="A7" s="16">
        <v>54</v>
      </c>
      <c r="B7" s="16" t="s">
        <v>25</v>
      </c>
      <c r="C7" s="21" t="s">
        <v>5</v>
      </c>
      <c r="D7" t="str">
        <f t="shared" si="0"/>
        <v>Agrecio Benedito cunha</v>
      </c>
      <c r="E7" t="str">
        <f t="shared" si="1"/>
        <v>Agrecio Benedito cunha</v>
      </c>
      <c r="F7" s="16">
        <v>81</v>
      </c>
      <c r="G7" s="16" t="s">
        <v>28</v>
      </c>
      <c r="H7" s="16" t="s">
        <v>150</v>
      </c>
      <c r="I7" s="16"/>
      <c r="J7" s="63"/>
      <c r="K7" t="str">
        <f t="shared" si="2"/>
        <v>Bruno Viana Correa</v>
      </c>
      <c r="N7" t="str">
        <f t="shared" si="3"/>
        <v>Bruno Viana Correa</v>
      </c>
      <c r="O7" t="str">
        <f t="shared" si="4"/>
        <v>Bruno Viana Correa</v>
      </c>
      <c r="P7" s="28">
        <v>81</v>
      </c>
      <c r="Q7" s="28"/>
      <c r="R7" s="28" t="s">
        <v>28</v>
      </c>
      <c r="S7" s="28" t="s">
        <v>150</v>
      </c>
      <c r="T7" s="28" t="s">
        <v>169</v>
      </c>
      <c r="U7" s="28">
        <v>18</v>
      </c>
      <c r="V7" s="28" t="s">
        <v>178</v>
      </c>
      <c r="W7" s="28" t="s">
        <v>171</v>
      </c>
      <c r="X7" s="41">
        <v>1417</v>
      </c>
      <c r="Y7" s="29">
        <v>42660</v>
      </c>
      <c r="Z7" s="29"/>
      <c r="AA7" s="29">
        <v>42698</v>
      </c>
      <c r="AB7">
        <v>0</v>
      </c>
      <c r="AC7" t="s">
        <v>172</v>
      </c>
    </row>
    <row r="8" spans="1:30">
      <c r="A8" s="26">
        <v>461</v>
      </c>
      <c r="B8" s="27" t="s">
        <v>145</v>
      </c>
      <c r="C8" s="26" t="s">
        <v>27</v>
      </c>
      <c r="D8" t="str">
        <f t="shared" si="0"/>
        <v>Ana Carolina Soares</v>
      </c>
      <c r="E8" t="str">
        <f t="shared" si="1"/>
        <v>Ana Carolina Soares</v>
      </c>
      <c r="F8" s="16">
        <v>84</v>
      </c>
      <c r="G8" s="16" t="s">
        <v>33</v>
      </c>
      <c r="H8" s="16" t="s">
        <v>154</v>
      </c>
      <c r="I8" s="16"/>
      <c r="J8" s="63"/>
      <c r="K8" t="str">
        <f t="shared" si="2"/>
        <v>Gilberto de Jesus R. Santos</v>
      </c>
      <c r="N8" t="str">
        <f t="shared" si="3"/>
        <v>Jadson Magno Gomes  Sa</v>
      </c>
      <c r="O8" t="e">
        <f t="shared" si="4"/>
        <v>#N/A</v>
      </c>
      <c r="P8" s="28">
        <v>82</v>
      </c>
      <c r="Q8" s="28"/>
      <c r="R8" s="28" t="s">
        <v>36</v>
      </c>
      <c r="S8" s="28" t="s">
        <v>179</v>
      </c>
      <c r="T8" s="28" t="s">
        <v>180</v>
      </c>
      <c r="U8" s="28">
        <v>0</v>
      </c>
      <c r="V8" s="28" t="s">
        <v>181</v>
      </c>
      <c r="W8" s="28" t="s">
        <v>171</v>
      </c>
      <c r="X8" s="41">
        <v>1772.68</v>
      </c>
      <c r="Y8" s="29">
        <v>42667</v>
      </c>
      <c r="Z8" s="29"/>
      <c r="AA8" s="29">
        <v>42781</v>
      </c>
      <c r="AB8">
        <v>0</v>
      </c>
      <c r="AC8" t="s">
        <v>172</v>
      </c>
    </row>
    <row r="9" spans="1:30">
      <c r="A9" s="26">
        <v>186</v>
      </c>
      <c r="B9" s="27" t="s">
        <v>26</v>
      </c>
      <c r="C9" s="26" t="s">
        <v>5</v>
      </c>
      <c r="D9" t="str">
        <f t="shared" si="0"/>
        <v>Andrelina Matos dos Santos</v>
      </c>
      <c r="E9" t="str">
        <f t="shared" si="1"/>
        <v>Andrelina Matos dos Santos</v>
      </c>
      <c r="F9" s="16">
        <v>92</v>
      </c>
      <c r="G9" s="16" t="s">
        <v>39</v>
      </c>
      <c r="H9" s="16" t="s">
        <v>133</v>
      </c>
      <c r="I9" s="50"/>
      <c r="J9" s="63"/>
      <c r="K9" t="str">
        <f t="shared" si="2"/>
        <v>Raimundo Nonato Frazão Ferreira</v>
      </c>
      <c r="N9" t="str">
        <f t="shared" si="3"/>
        <v>Gilberto de Jesus R. Santos</v>
      </c>
      <c r="O9" t="str">
        <f t="shared" si="4"/>
        <v>Gilberto de Jesus R. Santos</v>
      </c>
      <c r="P9" s="28">
        <v>84</v>
      </c>
      <c r="Q9" s="28"/>
      <c r="R9" s="28" t="s">
        <v>33</v>
      </c>
      <c r="S9" s="28" t="s">
        <v>154</v>
      </c>
      <c r="T9" s="28" t="s">
        <v>169</v>
      </c>
      <c r="U9" s="28">
        <v>4.5</v>
      </c>
      <c r="V9" s="28" t="s">
        <v>182</v>
      </c>
      <c r="W9" s="28" t="s">
        <v>171</v>
      </c>
      <c r="X9" s="42">
        <v>1417</v>
      </c>
      <c r="Y9" s="29">
        <v>42676</v>
      </c>
      <c r="Z9" s="29"/>
      <c r="AA9" s="29">
        <v>42892</v>
      </c>
      <c r="AB9">
        <v>0</v>
      </c>
      <c r="AC9" t="s">
        <v>183</v>
      </c>
    </row>
    <row r="10" spans="1:30">
      <c r="A10" s="26">
        <v>358</v>
      </c>
      <c r="B10" s="27" t="s">
        <v>85</v>
      </c>
      <c r="C10" s="26" t="s">
        <v>5</v>
      </c>
      <c r="D10" t="str">
        <f t="shared" si="0"/>
        <v>Anselmo Martins</v>
      </c>
      <c r="E10" t="str">
        <f t="shared" si="1"/>
        <v>Anselmo Martins</v>
      </c>
      <c r="F10" s="16">
        <v>129</v>
      </c>
      <c r="G10" s="16" t="s">
        <v>32</v>
      </c>
      <c r="H10" s="16" t="s">
        <v>56</v>
      </c>
      <c r="I10" s="16"/>
      <c r="J10" s="65"/>
      <c r="K10" t="str">
        <f t="shared" si="2"/>
        <v>Emerson Gouveia dos Santos</v>
      </c>
      <c r="N10" t="str">
        <f t="shared" si="3"/>
        <v>Raimundo Nonato Frazão Ferreira</v>
      </c>
      <c r="O10" t="str">
        <f t="shared" si="4"/>
        <v>Raimundo Nonato Frazão Ferreira</v>
      </c>
      <c r="P10" s="28">
        <v>92</v>
      </c>
      <c r="Q10" s="28"/>
      <c r="R10" s="28" t="s">
        <v>39</v>
      </c>
      <c r="S10" s="28" t="s">
        <v>133</v>
      </c>
      <c r="T10" s="28" t="s">
        <v>169</v>
      </c>
      <c r="U10" s="28">
        <v>16</v>
      </c>
      <c r="V10" s="28" t="s">
        <v>184</v>
      </c>
      <c r="W10" s="28" t="s">
        <v>171</v>
      </c>
      <c r="X10" s="41">
        <v>1417</v>
      </c>
      <c r="Y10" s="29">
        <v>42762</v>
      </c>
      <c r="Z10" s="29"/>
      <c r="AA10" s="29">
        <v>42887</v>
      </c>
      <c r="AB10">
        <v>0</v>
      </c>
      <c r="AC10" t="s">
        <v>172</v>
      </c>
    </row>
    <row r="11" spans="1:30">
      <c r="A11" s="21">
        <v>373</v>
      </c>
      <c r="B11" s="16" t="s">
        <v>94</v>
      </c>
      <c r="C11" s="21" t="s">
        <v>5</v>
      </c>
      <c r="D11" t="str">
        <f t="shared" si="0"/>
        <v>Antonio Gleison Vieira da Silva</v>
      </c>
      <c r="E11" t="str">
        <f t="shared" si="1"/>
        <v>Antonio Gleison Vieira da Silva</v>
      </c>
      <c r="F11" s="22">
        <v>174</v>
      </c>
      <c r="G11" s="22" t="s">
        <v>31</v>
      </c>
      <c r="H11" s="16" t="s">
        <v>58</v>
      </c>
      <c r="I11" s="16"/>
      <c r="J11" s="63"/>
      <c r="K11" t="str">
        <f t="shared" si="2"/>
        <v>Edson Jose do nascimento</v>
      </c>
      <c r="N11" t="str">
        <f t="shared" si="3"/>
        <v>Marianne Lima</v>
      </c>
      <c r="O11" t="e">
        <f t="shared" si="4"/>
        <v>#N/A</v>
      </c>
      <c r="P11" s="28">
        <v>101</v>
      </c>
      <c r="Q11" s="28"/>
      <c r="R11" s="28" t="s">
        <v>38</v>
      </c>
      <c r="S11" s="28" t="s">
        <v>185</v>
      </c>
      <c r="T11" s="28" t="s">
        <v>186</v>
      </c>
      <c r="U11" s="28">
        <v>0</v>
      </c>
      <c r="V11" s="28"/>
      <c r="W11" s="28" t="s">
        <v>171</v>
      </c>
      <c r="X11" s="41">
        <v>1579.4</v>
      </c>
      <c r="Y11" s="29">
        <v>41990</v>
      </c>
      <c r="Z11" s="29"/>
      <c r="AA11" s="29">
        <v>42644</v>
      </c>
      <c r="AB11">
        <v>0</v>
      </c>
      <c r="AC11" t="s">
        <v>172</v>
      </c>
    </row>
    <row r="12" spans="1:30">
      <c r="A12" s="26">
        <v>477</v>
      </c>
      <c r="B12" s="27" t="s">
        <v>161</v>
      </c>
      <c r="C12" s="26" t="s">
        <v>27</v>
      </c>
      <c r="D12" t="str">
        <f t="shared" si="0"/>
        <v>Ary Cesat Costa Duarte</v>
      </c>
      <c r="E12" t="str">
        <f t="shared" si="1"/>
        <v>Ary Cesat Costa Duarte</v>
      </c>
      <c r="F12" s="16">
        <v>183</v>
      </c>
      <c r="G12" s="16" t="s">
        <v>40</v>
      </c>
      <c r="H12" s="16" t="s">
        <v>67</v>
      </c>
      <c r="I12" s="50"/>
      <c r="J12" s="63"/>
      <c r="K12" t="str">
        <f t="shared" si="2"/>
        <v>Reginaldo Junior Gonçalves  Silva</v>
      </c>
      <c r="N12" t="str">
        <f t="shared" si="3"/>
        <v>Emerson Gouveia dos Santos</v>
      </c>
      <c r="O12" t="str">
        <f t="shared" si="4"/>
        <v>Emerson Gouveia dos Santos</v>
      </c>
      <c r="P12" s="28">
        <v>129</v>
      </c>
      <c r="Q12" s="28"/>
      <c r="R12" s="28" t="s">
        <v>32</v>
      </c>
      <c r="S12" s="28" t="s">
        <v>56</v>
      </c>
      <c r="T12" s="28" t="s">
        <v>169</v>
      </c>
      <c r="U12" s="28">
        <v>11</v>
      </c>
      <c r="V12" s="28" t="s">
        <v>187</v>
      </c>
      <c r="W12" s="28" t="s">
        <v>171</v>
      </c>
      <c r="X12" s="41">
        <v>1417</v>
      </c>
      <c r="Y12" s="29">
        <v>43074</v>
      </c>
      <c r="Z12" s="29"/>
      <c r="AA12" s="29">
        <v>43132</v>
      </c>
      <c r="AB12">
        <v>0</v>
      </c>
      <c r="AC12" t="s">
        <v>172</v>
      </c>
    </row>
    <row r="13" spans="1:30">
      <c r="A13" s="26">
        <v>453</v>
      </c>
      <c r="B13" s="27" t="s">
        <v>139</v>
      </c>
      <c r="C13" s="26" t="s">
        <v>5</v>
      </c>
      <c r="D13" t="str">
        <f t="shared" si="0"/>
        <v>Benilton Goveia dos santos</v>
      </c>
      <c r="E13" t="str">
        <f t="shared" si="1"/>
        <v>Benilton Goveia dos santos</v>
      </c>
      <c r="F13" s="16">
        <v>186</v>
      </c>
      <c r="G13" s="16" t="s">
        <v>26</v>
      </c>
      <c r="H13" s="16" t="s">
        <v>51</v>
      </c>
      <c r="I13" s="16"/>
      <c r="J13" s="16"/>
      <c r="K13" t="str">
        <f t="shared" si="2"/>
        <v>Andrelina Matos dos Santos</v>
      </c>
      <c r="N13" t="str">
        <f t="shared" si="3"/>
        <v>Iraci Pinheiro</v>
      </c>
      <c r="O13" t="e">
        <f t="shared" si="4"/>
        <v>#N/A</v>
      </c>
      <c r="P13" s="28">
        <v>149</v>
      </c>
      <c r="Q13" s="28"/>
      <c r="R13" s="28" t="s">
        <v>34</v>
      </c>
      <c r="S13" s="28" t="s">
        <v>188</v>
      </c>
      <c r="T13" s="28" t="s">
        <v>186</v>
      </c>
      <c r="U13" s="28">
        <v>0</v>
      </c>
      <c r="V13" s="28" t="s">
        <v>189</v>
      </c>
      <c r="W13" s="28" t="s">
        <v>171</v>
      </c>
      <c r="X13" s="41">
        <v>1417</v>
      </c>
      <c r="Y13" s="29">
        <v>43283</v>
      </c>
      <c r="Z13" s="29"/>
      <c r="AA13" s="29">
        <v>43313</v>
      </c>
      <c r="AB13">
        <v>0</v>
      </c>
      <c r="AC13" t="s">
        <v>183</v>
      </c>
      <c r="AD13" t="s">
        <v>190</v>
      </c>
    </row>
    <row r="14" spans="1:30">
      <c r="A14" s="26">
        <v>459</v>
      </c>
      <c r="B14" s="27" t="s">
        <v>143</v>
      </c>
      <c r="C14" s="26" t="s">
        <v>5</v>
      </c>
      <c r="D14" t="str">
        <f t="shared" si="0"/>
        <v>Brayan Jhefferson Silveira</v>
      </c>
      <c r="E14" t="str">
        <f t="shared" si="1"/>
        <v>Brayan Jhefferson Silveira</v>
      </c>
      <c r="F14" s="16">
        <v>187</v>
      </c>
      <c r="G14" s="16" t="s">
        <v>37</v>
      </c>
      <c r="H14" s="16" t="s">
        <v>52</v>
      </c>
      <c r="I14" s="16"/>
      <c r="J14" s="63"/>
      <c r="K14" t="str">
        <f t="shared" si="2"/>
        <v>Luis Gonçalves Silva</v>
      </c>
      <c r="N14" t="str">
        <f t="shared" si="3"/>
        <v>Edson Jose do nascimento</v>
      </c>
      <c r="O14" t="str">
        <f t="shared" si="4"/>
        <v>Edson Jose do nascimento</v>
      </c>
      <c r="P14" s="28">
        <v>174</v>
      </c>
      <c r="Q14" s="28"/>
      <c r="R14" s="28" t="s">
        <v>31</v>
      </c>
      <c r="S14" s="28" t="s">
        <v>58</v>
      </c>
      <c r="T14" s="28" t="s">
        <v>175</v>
      </c>
      <c r="U14" s="28">
        <v>14</v>
      </c>
      <c r="V14" s="28" t="s">
        <v>191</v>
      </c>
      <c r="W14" s="28" t="s">
        <v>171</v>
      </c>
      <c r="X14" s="41">
        <v>1417</v>
      </c>
      <c r="Y14" s="29">
        <v>43599</v>
      </c>
      <c r="Z14" s="29"/>
      <c r="AA14" s="29">
        <v>44075</v>
      </c>
      <c r="AB14">
        <v>0</v>
      </c>
      <c r="AC14" t="s">
        <v>172</v>
      </c>
      <c r="AD14" t="s">
        <v>192</v>
      </c>
    </row>
    <row r="15" spans="1:30">
      <c r="A15" s="26">
        <v>81</v>
      </c>
      <c r="B15" s="27" t="s">
        <v>28</v>
      </c>
      <c r="C15" s="26" t="s">
        <v>5</v>
      </c>
      <c r="D15" t="str">
        <f t="shared" si="0"/>
        <v>Bruno Viana Correa</v>
      </c>
      <c r="E15" t="str">
        <f t="shared" si="1"/>
        <v>Bruno Viana Correa</v>
      </c>
      <c r="F15" s="16">
        <v>194</v>
      </c>
      <c r="G15" s="16" t="s">
        <v>35</v>
      </c>
      <c r="H15" s="16" t="s">
        <v>113</v>
      </c>
      <c r="I15" s="16"/>
      <c r="J15" s="63"/>
      <c r="K15" t="str">
        <f t="shared" si="2"/>
        <v>Ismael Pereira silva</v>
      </c>
      <c r="N15" t="str">
        <f t="shared" si="3"/>
        <v>Reginaldo Junior Gonçalves  Silva</v>
      </c>
      <c r="O15" t="str">
        <f t="shared" si="4"/>
        <v>Reginaldo Junior Gonçalves  Silva</v>
      </c>
      <c r="P15" s="28">
        <v>183</v>
      </c>
      <c r="Q15" s="28"/>
      <c r="R15" s="28" t="s">
        <v>40</v>
      </c>
      <c r="S15" s="28" t="s">
        <v>67</v>
      </c>
      <c r="T15" s="28" t="s">
        <v>169</v>
      </c>
      <c r="U15" s="28">
        <v>8</v>
      </c>
      <c r="V15" s="28" t="s">
        <v>193</v>
      </c>
      <c r="W15" s="28"/>
      <c r="X15" s="41">
        <v>1417</v>
      </c>
      <c r="Y15" s="29">
        <v>43769</v>
      </c>
      <c r="Z15" s="29"/>
      <c r="AA15" s="29">
        <v>43862</v>
      </c>
      <c r="AB15">
        <v>0</v>
      </c>
      <c r="AC15" t="s">
        <v>172</v>
      </c>
    </row>
    <row r="16" spans="1:30">
      <c r="A16" s="26">
        <v>479</v>
      </c>
      <c r="B16" s="27" t="s">
        <v>92</v>
      </c>
      <c r="C16" s="26" t="s">
        <v>27</v>
      </c>
      <c r="D16" t="str">
        <f t="shared" si="0"/>
        <v>Carlos Edmar Silva santos</v>
      </c>
      <c r="E16" t="str">
        <f t="shared" si="1"/>
        <v>Carlos Edmar Silva santos</v>
      </c>
      <c r="F16" s="16">
        <v>198</v>
      </c>
      <c r="G16" s="16" t="s">
        <v>24</v>
      </c>
      <c r="H16" s="16" t="s">
        <v>53</v>
      </c>
      <c r="I16" s="16"/>
      <c r="J16" s="63"/>
      <c r="K16" t="str">
        <f t="shared" si="2"/>
        <v>Adriano Alves</v>
      </c>
      <c r="N16" t="str">
        <f t="shared" si="3"/>
        <v>Andrelina Matos dos Santos</v>
      </c>
      <c r="O16" t="str">
        <f t="shared" si="4"/>
        <v>Andrelina Matos dos Santos</v>
      </c>
      <c r="P16" s="28">
        <v>186</v>
      </c>
      <c r="Q16" s="28"/>
      <c r="R16" s="28" t="s">
        <v>26</v>
      </c>
      <c r="S16" s="28" t="s">
        <v>51</v>
      </c>
      <c r="T16" s="28" t="s">
        <v>175</v>
      </c>
      <c r="U16" s="28">
        <v>8</v>
      </c>
      <c r="V16" s="28" t="s">
        <v>194</v>
      </c>
      <c r="W16" s="28"/>
      <c r="X16" s="41">
        <v>1417</v>
      </c>
      <c r="Y16" s="29">
        <v>43774</v>
      </c>
      <c r="Z16" s="29"/>
      <c r="AA16" s="29">
        <v>43862</v>
      </c>
      <c r="AB16">
        <v>0</v>
      </c>
      <c r="AC16" t="s">
        <v>172</v>
      </c>
    </row>
    <row r="17" spans="1:30">
      <c r="A17" s="26">
        <v>449</v>
      </c>
      <c r="B17" s="27" t="s">
        <v>135</v>
      </c>
      <c r="C17" s="26" t="s">
        <v>5</v>
      </c>
      <c r="D17" t="str">
        <f t="shared" si="0"/>
        <v>Carmen da Rocha Silva</v>
      </c>
      <c r="E17" t="str">
        <f t="shared" si="1"/>
        <v>Carmen da Rocha Silva</v>
      </c>
      <c r="F17" s="22">
        <v>203</v>
      </c>
      <c r="G17" s="22" t="s">
        <v>42</v>
      </c>
      <c r="H17" s="16" t="s">
        <v>54</v>
      </c>
      <c r="I17" s="16"/>
      <c r="J17" s="63"/>
      <c r="K17" t="str">
        <f t="shared" si="2"/>
        <v>Sildivan Moreira de Carvalho</v>
      </c>
      <c r="N17" t="str">
        <f t="shared" si="3"/>
        <v>Luis Gonçalves Silva</v>
      </c>
      <c r="O17" t="str">
        <f t="shared" si="4"/>
        <v>Luis Gonçalves Silva</v>
      </c>
      <c r="P17" s="28">
        <v>187</v>
      </c>
      <c r="Q17" s="28"/>
      <c r="R17" s="28" t="s">
        <v>37</v>
      </c>
      <c r="S17" s="28" t="s">
        <v>52</v>
      </c>
      <c r="T17" s="28" t="s">
        <v>175</v>
      </c>
      <c r="U17" s="28">
        <v>10</v>
      </c>
      <c r="V17" s="28" t="s">
        <v>195</v>
      </c>
      <c r="W17" s="28" t="s">
        <v>171</v>
      </c>
      <c r="X17" s="41">
        <v>1417</v>
      </c>
      <c r="Y17" s="29">
        <v>43770</v>
      </c>
      <c r="Z17" s="29"/>
      <c r="AA17" s="29">
        <v>44075</v>
      </c>
      <c r="AB17">
        <v>0</v>
      </c>
      <c r="AC17" t="s">
        <v>183</v>
      </c>
    </row>
    <row r="18" spans="1:30">
      <c r="A18" s="26">
        <v>13</v>
      </c>
      <c r="B18" s="27" t="s">
        <v>29</v>
      </c>
      <c r="C18" s="26" t="s">
        <v>5</v>
      </c>
      <c r="D18" t="str">
        <f t="shared" si="0"/>
        <v>Cicero Rocha</v>
      </c>
      <c r="E18" t="str">
        <f t="shared" si="1"/>
        <v>Cicero Rocha</v>
      </c>
      <c r="F18" s="16">
        <v>220</v>
      </c>
      <c r="G18" s="16" t="s">
        <v>41</v>
      </c>
      <c r="H18" s="16" t="s">
        <v>56</v>
      </c>
      <c r="I18" s="50"/>
      <c r="J18" s="63"/>
      <c r="K18" t="str">
        <f t="shared" si="2"/>
        <v>Salomão Lopes Torres</v>
      </c>
      <c r="N18" t="str">
        <f t="shared" si="3"/>
        <v>Ismael Pereira silva</v>
      </c>
      <c r="O18" t="str">
        <f t="shared" si="4"/>
        <v>Ismael Pereira silva</v>
      </c>
      <c r="P18" s="28">
        <v>194</v>
      </c>
      <c r="Q18" s="28"/>
      <c r="R18" s="28" t="s">
        <v>35</v>
      </c>
      <c r="S18" s="28" t="s">
        <v>113</v>
      </c>
      <c r="T18" s="28" t="s">
        <v>169</v>
      </c>
      <c r="U18" s="28">
        <v>10</v>
      </c>
      <c r="V18" s="28" t="s">
        <v>196</v>
      </c>
      <c r="W18" s="28"/>
      <c r="X18" s="41">
        <v>1417</v>
      </c>
      <c r="Y18" s="29">
        <v>44046</v>
      </c>
      <c r="Z18" s="29"/>
      <c r="AA18" s="29">
        <v>44075</v>
      </c>
      <c r="AB18">
        <v>0</v>
      </c>
    </row>
    <row r="19" spans="1:30">
      <c r="A19" s="26">
        <v>259</v>
      </c>
      <c r="B19" s="27" t="s">
        <v>47</v>
      </c>
      <c r="C19" s="26" t="s">
        <v>5</v>
      </c>
      <c r="D19" t="str">
        <f t="shared" si="0"/>
        <v xml:space="preserve">Clarissa Costa </v>
      </c>
      <c r="E19" t="str">
        <f t="shared" si="1"/>
        <v xml:space="preserve">Clarissa Costa </v>
      </c>
      <c r="F19" s="22">
        <v>229</v>
      </c>
      <c r="G19" s="22" t="s">
        <v>44</v>
      </c>
      <c r="H19" s="16" t="s">
        <v>104</v>
      </c>
      <c r="I19" s="50"/>
      <c r="J19" s="63"/>
      <c r="K19" t="str">
        <f t="shared" si="2"/>
        <v>Leandro Sousa Lopes</v>
      </c>
      <c r="N19" t="str">
        <f t="shared" si="3"/>
        <v>Adriano Alves</v>
      </c>
      <c r="O19" t="str">
        <f t="shared" si="4"/>
        <v>Adriano Alves</v>
      </c>
      <c r="P19" s="28">
        <v>198</v>
      </c>
      <c r="Q19" s="28"/>
      <c r="R19" s="28" t="s">
        <v>24</v>
      </c>
      <c r="S19" s="28" t="s">
        <v>53</v>
      </c>
      <c r="T19" s="28" t="s">
        <v>180</v>
      </c>
      <c r="U19" s="28">
        <v>3</v>
      </c>
      <c r="V19" s="28" t="s">
        <v>197</v>
      </c>
      <c r="W19" s="28"/>
      <c r="X19" s="41">
        <v>1689.12</v>
      </c>
      <c r="Y19" s="29">
        <v>44070</v>
      </c>
      <c r="Z19" s="29"/>
      <c r="AA19" s="29">
        <v>44202</v>
      </c>
      <c r="AC19" t="s">
        <v>183</v>
      </c>
      <c r="AD19" t="s">
        <v>198</v>
      </c>
    </row>
    <row r="20" spans="1:30">
      <c r="A20" s="16">
        <v>457</v>
      </c>
      <c r="B20" s="16" t="s">
        <v>141</v>
      </c>
      <c r="C20" s="21" t="s">
        <v>5</v>
      </c>
      <c r="D20" t="str">
        <f t="shared" si="0"/>
        <v>Claudeci do Vale Reis</v>
      </c>
      <c r="E20" t="str">
        <f t="shared" si="1"/>
        <v>Claudeci do Vale Reis</v>
      </c>
      <c r="F20" s="16">
        <v>247</v>
      </c>
      <c r="G20" s="16" t="s">
        <v>57</v>
      </c>
      <c r="H20" s="16" t="s">
        <v>104</v>
      </c>
      <c r="I20" s="16"/>
      <c r="J20" s="63"/>
      <c r="K20" t="str">
        <f t="shared" si="2"/>
        <v>Francinildo Viana Silva</v>
      </c>
      <c r="N20" t="str">
        <f t="shared" si="3"/>
        <v>Sildivan Moreira de Carvalho</v>
      </c>
      <c r="O20" t="str">
        <f t="shared" si="4"/>
        <v>Sildivan Moreira de Carvalho</v>
      </c>
      <c r="P20" s="28">
        <v>203</v>
      </c>
      <c r="Q20" s="28"/>
      <c r="R20" s="28" t="s">
        <v>42</v>
      </c>
      <c r="S20" s="28" t="s">
        <v>54</v>
      </c>
      <c r="T20" s="28" t="s">
        <v>175</v>
      </c>
      <c r="U20" s="28">
        <v>4</v>
      </c>
      <c r="V20" s="28" t="s">
        <v>199</v>
      </c>
      <c r="W20" s="28"/>
      <c r="X20" s="41">
        <v>1417</v>
      </c>
      <c r="Y20" s="29">
        <v>44147</v>
      </c>
      <c r="Z20" s="29"/>
      <c r="AA20" s="29">
        <v>44348</v>
      </c>
    </row>
    <row r="21" spans="1:30">
      <c r="A21" s="26">
        <v>399</v>
      </c>
      <c r="B21" s="27" t="s">
        <v>101</v>
      </c>
      <c r="C21" s="26" t="s">
        <v>5</v>
      </c>
      <c r="D21" t="e">
        <f t="shared" si="0"/>
        <v>#N/A</v>
      </c>
      <c r="E21" t="str">
        <f t="shared" si="1"/>
        <v>Cledes martins de Sousa</v>
      </c>
      <c r="F21" s="16">
        <v>253</v>
      </c>
      <c r="G21" s="16" t="s">
        <v>45</v>
      </c>
      <c r="H21" s="16" t="s">
        <v>54</v>
      </c>
      <c r="I21" s="16"/>
      <c r="J21" s="63"/>
      <c r="K21" t="str">
        <f t="shared" si="2"/>
        <v>Paulo Figueredo Viana</v>
      </c>
      <c r="N21" t="str">
        <f t="shared" si="3"/>
        <v>Salomão Lopes Torres</v>
      </c>
      <c r="O21" t="str">
        <f t="shared" si="4"/>
        <v>Salomão Lopes Torres</v>
      </c>
      <c r="P21" s="28">
        <v>220</v>
      </c>
      <c r="Q21" s="28"/>
      <c r="R21" s="28" t="s">
        <v>41</v>
      </c>
      <c r="S21" s="28" t="s">
        <v>56</v>
      </c>
      <c r="T21" s="28" t="s">
        <v>169</v>
      </c>
      <c r="U21" s="28">
        <v>11</v>
      </c>
      <c r="V21" s="28" t="s">
        <v>200</v>
      </c>
      <c r="W21" s="28"/>
      <c r="X21" s="41">
        <v>1417</v>
      </c>
      <c r="Y21" s="29">
        <v>44490</v>
      </c>
      <c r="Z21" s="29"/>
      <c r="AA21" s="29">
        <v>44652</v>
      </c>
    </row>
    <row r="22" spans="1:30">
      <c r="A22" s="26">
        <v>388</v>
      </c>
      <c r="B22" s="27" t="s">
        <v>96</v>
      </c>
      <c r="C22" s="26" t="s">
        <v>5</v>
      </c>
      <c r="D22" t="e">
        <f t="shared" si="0"/>
        <v>#N/A</v>
      </c>
      <c r="E22" t="e">
        <f t="shared" si="1"/>
        <v>#N/A</v>
      </c>
      <c r="F22" s="16">
        <v>256</v>
      </c>
      <c r="G22" s="16" t="s">
        <v>46</v>
      </c>
      <c r="H22" s="16" t="s">
        <v>81</v>
      </c>
      <c r="I22" s="50"/>
      <c r="J22" s="63"/>
      <c r="K22" t="str">
        <f t="shared" si="2"/>
        <v>Lazaro Pinheiro Junior</v>
      </c>
      <c r="N22" t="str">
        <f t="shared" si="3"/>
        <v>Leandro Sousa Lopes</v>
      </c>
      <c r="O22" t="str">
        <f t="shared" si="4"/>
        <v>Leandro Sousa Lopes</v>
      </c>
      <c r="P22" s="28">
        <v>229</v>
      </c>
      <c r="Q22" s="28"/>
      <c r="R22" s="28" t="s">
        <v>44</v>
      </c>
      <c r="S22" s="28" t="s">
        <v>104</v>
      </c>
      <c r="T22" s="28" t="s">
        <v>175</v>
      </c>
      <c r="U22" s="43">
        <v>7</v>
      </c>
      <c r="V22" s="28" t="s">
        <v>201</v>
      </c>
      <c r="W22" s="28"/>
      <c r="X22" s="41">
        <v>1417</v>
      </c>
      <c r="Y22" s="29">
        <v>44590</v>
      </c>
      <c r="Z22" s="29"/>
      <c r="AA22" s="29">
        <v>44790</v>
      </c>
    </row>
    <row r="23" spans="1:30">
      <c r="A23" s="26">
        <v>43</v>
      </c>
      <c r="B23" s="27" t="s">
        <v>30</v>
      </c>
      <c r="C23" s="26" t="s">
        <v>5</v>
      </c>
      <c r="D23" t="str">
        <f t="shared" si="0"/>
        <v>Crispim dos Santos Nascimento</v>
      </c>
      <c r="E23" t="str">
        <f t="shared" si="1"/>
        <v>Crispim dos Santos Nascimento</v>
      </c>
      <c r="F23" s="16">
        <v>259</v>
      </c>
      <c r="G23" s="16" t="s">
        <v>47</v>
      </c>
      <c r="H23" s="16" t="s">
        <v>51</v>
      </c>
      <c r="I23" s="16"/>
      <c r="J23" s="63"/>
      <c r="K23" t="str">
        <f t="shared" si="2"/>
        <v xml:space="preserve">Clarissa Costa </v>
      </c>
      <c r="N23" t="str">
        <f t="shared" si="3"/>
        <v>Francinildo Viana Silva</v>
      </c>
      <c r="O23" t="str">
        <f t="shared" si="4"/>
        <v>Francinildo Viana Silva</v>
      </c>
      <c r="P23" s="28">
        <v>247</v>
      </c>
      <c r="Q23" s="28"/>
      <c r="R23" s="28" t="s">
        <v>57</v>
      </c>
      <c r="S23" s="28" t="s">
        <v>104</v>
      </c>
      <c r="T23" s="28" t="s">
        <v>175</v>
      </c>
      <c r="U23" s="43">
        <v>7</v>
      </c>
      <c r="V23" s="28" t="s">
        <v>202</v>
      </c>
      <c r="W23" s="28"/>
      <c r="X23" s="41">
        <v>1417</v>
      </c>
      <c r="Y23" s="29">
        <v>44761</v>
      </c>
      <c r="Z23" s="29">
        <v>46063</v>
      </c>
      <c r="AA23" s="29">
        <v>44866</v>
      </c>
    </row>
    <row r="24" spans="1:30">
      <c r="A24" s="21">
        <v>445</v>
      </c>
      <c r="B24" s="16" t="s">
        <v>119</v>
      </c>
      <c r="C24" s="21" t="s">
        <v>5</v>
      </c>
      <c r="D24" t="str">
        <f t="shared" si="0"/>
        <v>Danielle Cristine Dias Pinheiro</v>
      </c>
      <c r="E24" t="str">
        <f t="shared" si="1"/>
        <v>Danielle Cristine Dias Pinheiro</v>
      </c>
      <c r="F24" s="16">
        <v>264</v>
      </c>
      <c r="G24" s="16" t="s">
        <v>60</v>
      </c>
      <c r="H24" s="16" t="s">
        <v>151</v>
      </c>
      <c r="I24" s="50"/>
      <c r="J24" s="63"/>
      <c r="K24" t="str">
        <f t="shared" si="2"/>
        <v>Denilson Oliveira Moreira</v>
      </c>
      <c r="N24" t="str">
        <f t="shared" si="3"/>
        <v>Paulo Figueredo Viana</v>
      </c>
      <c r="O24" t="str">
        <f t="shared" si="4"/>
        <v>Paulo Figueredo Viana</v>
      </c>
      <c r="P24" s="28">
        <v>253</v>
      </c>
      <c r="Q24" s="28"/>
      <c r="R24" s="28" t="s">
        <v>45</v>
      </c>
      <c r="S24" s="28" t="s">
        <v>54</v>
      </c>
      <c r="T24" s="28" t="s">
        <v>175</v>
      </c>
      <c r="U24" s="43">
        <v>4</v>
      </c>
      <c r="V24" s="28" t="s">
        <v>203</v>
      </c>
      <c r="W24" s="28"/>
      <c r="X24" s="41">
        <v>1417</v>
      </c>
      <c r="Y24" s="29">
        <v>44818</v>
      </c>
      <c r="Z24" s="29"/>
      <c r="AA24" s="29">
        <v>44866</v>
      </c>
    </row>
    <row r="25" spans="1:30">
      <c r="A25" s="26">
        <v>476</v>
      </c>
      <c r="B25" s="27" t="s">
        <v>160</v>
      </c>
      <c r="C25" s="26" t="s">
        <v>27</v>
      </c>
      <c r="D25" t="str">
        <f t="shared" si="0"/>
        <v>Dayvisson George Sousa Ribeiro</v>
      </c>
      <c r="E25" t="str">
        <f t="shared" si="1"/>
        <v>Dayvisson George Sousa Ribeiro</v>
      </c>
      <c r="F25" s="16">
        <v>266</v>
      </c>
      <c r="G25" s="16" t="s">
        <v>59</v>
      </c>
      <c r="H25" s="16" t="s">
        <v>56</v>
      </c>
      <c r="I25" s="50"/>
      <c r="J25" s="63"/>
      <c r="K25" t="str">
        <f t="shared" si="2"/>
        <v>Mateus Alves Cardoso</v>
      </c>
      <c r="N25" t="str">
        <f t="shared" si="3"/>
        <v>Lazaro Pinheiro Junior</v>
      </c>
      <c r="O25" t="str">
        <f t="shared" si="4"/>
        <v>Lazaro Pinheiro Junior</v>
      </c>
      <c r="P25" s="28">
        <v>256</v>
      </c>
      <c r="Q25" s="28"/>
      <c r="R25" s="28" t="s">
        <v>46</v>
      </c>
      <c r="S25" s="28" t="s">
        <v>81</v>
      </c>
      <c r="T25" s="28" t="s">
        <v>175</v>
      </c>
      <c r="U25" s="43">
        <v>12</v>
      </c>
      <c r="V25" s="28" t="s">
        <v>204</v>
      </c>
      <c r="W25" s="28"/>
      <c r="X25" s="41">
        <v>1417</v>
      </c>
      <c r="Y25" s="29">
        <v>44858</v>
      </c>
      <c r="Z25" s="29"/>
      <c r="AA25" s="29">
        <v>44958</v>
      </c>
    </row>
    <row r="26" spans="1:30">
      <c r="A26" s="26">
        <v>264</v>
      </c>
      <c r="B26" s="27" t="s">
        <v>60</v>
      </c>
      <c r="C26" s="26" t="s">
        <v>5</v>
      </c>
      <c r="D26" t="str">
        <f t="shared" si="0"/>
        <v>Denilson Oliveira Moreira</v>
      </c>
      <c r="E26" t="str">
        <f t="shared" si="1"/>
        <v>Denilson Oliveira Moreira</v>
      </c>
      <c r="F26" s="16">
        <v>272</v>
      </c>
      <c r="G26" s="16" t="s">
        <v>62</v>
      </c>
      <c r="H26" s="16" t="s">
        <v>154</v>
      </c>
      <c r="I26" s="16"/>
      <c r="J26" s="63"/>
      <c r="K26" t="str">
        <f t="shared" si="2"/>
        <v>Gledson Macena Barbosa</v>
      </c>
      <c r="N26" t="str">
        <f t="shared" si="3"/>
        <v xml:space="preserve">Clarissa Costa </v>
      </c>
      <c r="O26" t="str">
        <f t="shared" si="4"/>
        <v xml:space="preserve">Clarissa Costa </v>
      </c>
      <c r="P26" s="28">
        <v>259</v>
      </c>
      <c r="Q26" s="28"/>
      <c r="R26" s="28" t="s">
        <v>47</v>
      </c>
      <c r="S26" s="28" t="s">
        <v>51</v>
      </c>
      <c r="T26" s="28" t="s">
        <v>175</v>
      </c>
      <c r="U26" s="43">
        <v>8</v>
      </c>
      <c r="V26" s="28" t="s">
        <v>205</v>
      </c>
      <c r="W26" s="28"/>
      <c r="X26" s="41">
        <v>1417</v>
      </c>
      <c r="Y26" s="29">
        <v>44871</v>
      </c>
      <c r="Z26" s="29"/>
      <c r="AA26" s="29">
        <v>44911</v>
      </c>
    </row>
    <row r="27" spans="1:30">
      <c r="A27" s="26">
        <v>346</v>
      </c>
      <c r="B27" s="27" t="s">
        <v>80</v>
      </c>
      <c r="C27" s="26" t="s">
        <v>5</v>
      </c>
      <c r="D27" t="str">
        <f t="shared" si="0"/>
        <v>Diogo catanhede Coqueiro</v>
      </c>
      <c r="E27" t="str">
        <f t="shared" si="1"/>
        <v>Diogo catanhede Coqueiro</v>
      </c>
      <c r="F27" s="16">
        <v>298</v>
      </c>
      <c r="G27" s="16" t="s">
        <v>66</v>
      </c>
      <c r="H27" s="16" t="s">
        <v>122</v>
      </c>
      <c r="I27" s="16"/>
      <c r="J27" s="63"/>
      <c r="K27" t="str">
        <f t="shared" si="2"/>
        <v>Fabio Gouveia dos santos</v>
      </c>
      <c r="N27" t="str">
        <f t="shared" si="3"/>
        <v>Denilson Oliveira Moreira</v>
      </c>
      <c r="O27" t="str">
        <f t="shared" si="4"/>
        <v>Denilson Oliveira Moreira</v>
      </c>
      <c r="P27" s="28">
        <v>264</v>
      </c>
      <c r="Q27" s="28"/>
      <c r="R27" s="28" t="s">
        <v>60</v>
      </c>
      <c r="S27" s="28" t="s">
        <v>151</v>
      </c>
      <c r="T27" s="28" t="s">
        <v>169</v>
      </c>
      <c r="U27" s="43">
        <v>14</v>
      </c>
      <c r="V27" s="28" t="s">
        <v>206</v>
      </c>
      <c r="W27" s="28"/>
      <c r="X27" s="41">
        <v>1417</v>
      </c>
      <c r="Y27" s="29">
        <v>44980</v>
      </c>
      <c r="Z27" s="29"/>
      <c r="AA27" s="29">
        <v>45078</v>
      </c>
    </row>
    <row r="28" spans="1:30">
      <c r="A28" s="26">
        <v>174</v>
      </c>
      <c r="B28" s="27" t="s">
        <v>31</v>
      </c>
      <c r="C28" s="26" t="s">
        <v>5</v>
      </c>
      <c r="D28" t="str">
        <f t="shared" si="0"/>
        <v>Edson Jose do nascimento</v>
      </c>
      <c r="E28" t="str">
        <f t="shared" si="1"/>
        <v>Edson Jose do nascimento</v>
      </c>
      <c r="F28" s="22">
        <v>309</v>
      </c>
      <c r="G28" s="22" t="s">
        <v>61</v>
      </c>
      <c r="H28" s="16" t="s">
        <v>56</v>
      </c>
      <c r="I28" s="50"/>
      <c r="J28" s="63"/>
      <c r="K28" t="str">
        <f t="shared" si="2"/>
        <v>Hernandes Vieira de Oliveira</v>
      </c>
      <c r="N28" t="str">
        <f t="shared" si="3"/>
        <v>Mateus Alves Cardoso</v>
      </c>
      <c r="O28" t="str">
        <f t="shared" si="4"/>
        <v>Mateus Alves Cardoso</v>
      </c>
      <c r="P28" s="28">
        <v>266</v>
      </c>
      <c r="Q28" s="28"/>
      <c r="R28" s="28" t="s">
        <v>59</v>
      </c>
      <c r="S28" s="28" t="s">
        <v>56</v>
      </c>
      <c r="T28" s="28" t="s">
        <v>169</v>
      </c>
      <c r="U28" s="43">
        <v>11</v>
      </c>
      <c r="V28" s="28" t="s">
        <v>207</v>
      </c>
      <c r="W28" s="28"/>
      <c r="X28" s="41">
        <v>1417</v>
      </c>
      <c r="Y28" s="29">
        <v>44977</v>
      </c>
      <c r="Z28" s="29"/>
      <c r="AA28" s="29">
        <v>45062</v>
      </c>
      <c r="AD28" t="s">
        <v>208</v>
      </c>
    </row>
    <row r="29" spans="1:30">
      <c r="A29" s="26">
        <v>129</v>
      </c>
      <c r="B29" s="27" t="s">
        <v>32</v>
      </c>
      <c r="C29" s="26" t="s">
        <v>5</v>
      </c>
      <c r="D29" t="str">
        <f t="shared" si="0"/>
        <v>Emerson Gouveia dos Santos</v>
      </c>
      <c r="E29" t="str">
        <f t="shared" si="1"/>
        <v>Emerson Gouveia dos Santos</v>
      </c>
      <c r="F29" s="22">
        <v>311</v>
      </c>
      <c r="G29" s="22" t="s">
        <v>75</v>
      </c>
      <c r="H29" s="16" t="s">
        <v>98</v>
      </c>
      <c r="I29" s="16"/>
      <c r="J29" s="63"/>
      <c r="K29" t="str">
        <f t="shared" si="2"/>
        <v>Maria Bertila Gouveia dos Santos</v>
      </c>
      <c r="N29" t="str">
        <f t="shared" si="3"/>
        <v>Gledson Macena Barbosa</v>
      </c>
      <c r="O29" t="str">
        <f t="shared" si="4"/>
        <v>Gledson Macena Barbosa</v>
      </c>
      <c r="P29" s="28">
        <v>272</v>
      </c>
      <c r="Q29" s="28"/>
      <c r="R29" s="28" t="s">
        <v>62</v>
      </c>
      <c r="S29" s="28" t="s">
        <v>154</v>
      </c>
      <c r="T29" s="28" t="s">
        <v>169</v>
      </c>
      <c r="U29" s="43">
        <v>4.5</v>
      </c>
      <c r="V29" s="28" t="s">
        <v>209</v>
      </c>
      <c r="W29" s="28"/>
      <c r="X29" s="41">
        <v>1417</v>
      </c>
      <c r="Y29" s="29">
        <v>45008</v>
      </c>
      <c r="Z29" s="29"/>
      <c r="AA29" s="29">
        <v>45062</v>
      </c>
    </row>
    <row r="30" spans="1:30">
      <c r="A30" s="26">
        <v>298</v>
      </c>
      <c r="B30" s="27" t="s">
        <v>66</v>
      </c>
      <c r="C30" s="26" t="s">
        <v>5</v>
      </c>
      <c r="D30" t="str">
        <f t="shared" si="0"/>
        <v>Fabio Gouveia dos santos</v>
      </c>
      <c r="E30" t="str">
        <f t="shared" si="1"/>
        <v>Fabio Gouveia dos santos</v>
      </c>
      <c r="F30" s="22">
        <v>321</v>
      </c>
      <c r="G30" s="22" t="s">
        <v>77</v>
      </c>
      <c r="H30" s="16" t="s">
        <v>51</v>
      </c>
      <c r="I30" s="16"/>
      <c r="J30" s="63"/>
      <c r="K30" t="str">
        <f t="shared" si="2"/>
        <v>Marcos Cesar Costa</v>
      </c>
      <c r="N30" t="str">
        <f t="shared" si="3"/>
        <v>Fabio Gouveia dos santos</v>
      </c>
      <c r="O30" t="str">
        <f t="shared" si="4"/>
        <v>Fabio Gouveia dos santos</v>
      </c>
      <c r="P30" s="28">
        <v>298</v>
      </c>
      <c r="Q30" s="28"/>
      <c r="R30" s="28" t="s">
        <v>66</v>
      </c>
      <c r="S30" s="28" t="s">
        <v>122</v>
      </c>
      <c r="T30" s="28" t="s">
        <v>169</v>
      </c>
      <c r="U30" s="43">
        <v>9</v>
      </c>
      <c r="V30" s="28" t="s">
        <v>210</v>
      </c>
      <c r="W30" s="28"/>
      <c r="X30" s="41">
        <v>1417</v>
      </c>
      <c r="Y30" s="29">
        <v>45204</v>
      </c>
      <c r="Z30" s="29"/>
      <c r="AA30" s="29">
        <v>45327</v>
      </c>
    </row>
    <row r="31" spans="1:30">
      <c r="A31" s="26">
        <v>247</v>
      </c>
      <c r="B31" s="27" t="s">
        <v>57</v>
      </c>
      <c r="C31" s="26" t="s">
        <v>5</v>
      </c>
      <c r="D31" t="str">
        <f t="shared" si="0"/>
        <v>Francinildo Viana Silva</v>
      </c>
      <c r="E31" t="str">
        <f t="shared" si="1"/>
        <v>Francinildo Viana Silva</v>
      </c>
      <c r="F31" s="16">
        <v>331</v>
      </c>
      <c r="G31" s="16" t="s">
        <v>78</v>
      </c>
      <c r="H31" s="16" t="s">
        <v>146</v>
      </c>
      <c r="I31" s="50"/>
      <c r="J31" s="63"/>
      <c r="K31" t="str">
        <f t="shared" si="2"/>
        <v>Railson Pinheiro Soaras</v>
      </c>
      <c r="N31" t="str">
        <f t="shared" si="3"/>
        <v>Hernandes Vieira de Oliveira</v>
      </c>
      <c r="O31" t="str">
        <f t="shared" si="4"/>
        <v>Hernandes Vieira de Oliveira</v>
      </c>
      <c r="P31" s="28">
        <v>309</v>
      </c>
      <c r="Q31" s="28"/>
      <c r="R31" s="28" t="s">
        <v>61</v>
      </c>
      <c r="S31" s="28" t="s">
        <v>56</v>
      </c>
      <c r="T31" s="28" t="s">
        <v>169</v>
      </c>
      <c r="U31" s="43">
        <v>11</v>
      </c>
      <c r="V31" s="28" t="s">
        <v>211</v>
      </c>
      <c r="W31" s="28"/>
      <c r="X31" s="41">
        <v>1417</v>
      </c>
      <c r="Y31" s="29">
        <v>45265</v>
      </c>
      <c r="Z31" s="29"/>
      <c r="AA31" s="29">
        <v>45407</v>
      </c>
    </row>
    <row r="32" spans="1:30">
      <c r="A32" s="26">
        <v>374</v>
      </c>
      <c r="B32" s="27" t="s">
        <v>90</v>
      </c>
      <c r="C32" s="26" t="s">
        <v>5</v>
      </c>
      <c r="D32" t="str">
        <f t="shared" si="0"/>
        <v>Gabriel Lima Martins dos Santos</v>
      </c>
      <c r="E32" t="str">
        <f t="shared" si="1"/>
        <v>Gabriel Lima Martins dos Santos</v>
      </c>
      <c r="F32" s="16">
        <v>336</v>
      </c>
      <c r="G32" s="16" t="s">
        <v>79</v>
      </c>
      <c r="H32" s="16" t="s">
        <v>133</v>
      </c>
      <c r="I32" s="16"/>
      <c r="J32" s="63"/>
      <c r="K32" t="str">
        <f t="shared" si="2"/>
        <v>José Daniel da Silva</v>
      </c>
      <c r="N32" t="str">
        <f t="shared" si="3"/>
        <v>Maria Bertila Gouveia dos Santos</v>
      </c>
      <c r="O32" t="str">
        <f t="shared" si="4"/>
        <v>Maria Bertila Gouveia dos Santos</v>
      </c>
      <c r="P32" s="28">
        <v>311</v>
      </c>
      <c r="Q32" s="28"/>
      <c r="R32" s="28" t="s">
        <v>75</v>
      </c>
      <c r="S32" s="28" t="s">
        <v>98</v>
      </c>
      <c r="T32" s="28" t="s">
        <v>175</v>
      </c>
      <c r="U32" s="43">
        <v>7</v>
      </c>
      <c r="V32" s="28" t="s">
        <v>212</v>
      </c>
      <c r="W32" s="28"/>
      <c r="X32" s="41">
        <v>1417</v>
      </c>
      <c r="Y32" s="29">
        <v>45292</v>
      </c>
      <c r="Z32" s="29"/>
      <c r="AA32" s="29">
        <v>45446</v>
      </c>
    </row>
    <row r="33" spans="1:30">
      <c r="A33" s="26">
        <v>474</v>
      </c>
      <c r="B33" s="27" t="s">
        <v>159</v>
      </c>
      <c r="C33" s="26" t="s">
        <v>27</v>
      </c>
      <c r="D33" t="str">
        <f t="shared" si="0"/>
        <v>Geanderson Augusto dos Santos santos</v>
      </c>
      <c r="E33" t="str">
        <f t="shared" si="1"/>
        <v>Geanderson Augusto dos Santos santos</v>
      </c>
      <c r="F33" s="16">
        <v>346</v>
      </c>
      <c r="G33" s="16" t="s">
        <v>80</v>
      </c>
      <c r="H33" s="16" t="s">
        <v>93</v>
      </c>
      <c r="I33" s="50"/>
      <c r="J33" s="63"/>
      <c r="K33" t="str">
        <f t="shared" si="2"/>
        <v>Diogo catanhede Coqueiro</v>
      </c>
      <c r="N33" t="str">
        <f t="shared" si="3"/>
        <v>Marcos Cesar Costa</v>
      </c>
      <c r="O33" t="str">
        <f t="shared" si="4"/>
        <v>Marcos Cesar Costa</v>
      </c>
      <c r="P33" s="28">
        <v>321</v>
      </c>
      <c r="Q33" s="28"/>
      <c r="R33" s="28" t="s">
        <v>77</v>
      </c>
      <c r="S33" s="28" t="s">
        <v>51</v>
      </c>
      <c r="T33" s="28" t="s">
        <v>175</v>
      </c>
      <c r="U33" s="43">
        <v>8</v>
      </c>
      <c r="V33" s="28" t="s">
        <v>213</v>
      </c>
      <c r="W33" s="28"/>
      <c r="X33" s="41">
        <v>1417</v>
      </c>
      <c r="Y33" s="29">
        <v>45340</v>
      </c>
      <c r="Z33" s="29"/>
      <c r="AA33" s="29">
        <v>45435</v>
      </c>
    </row>
    <row r="34" spans="1:30">
      <c r="A34" s="21">
        <v>84</v>
      </c>
      <c r="B34" s="16" t="s">
        <v>33</v>
      </c>
      <c r="C34" s="21" t="s">
        <v>5</v>
      </c>
      <c r="D34" t="str">
        <f t="shared" si="0"/>
        <v>Gilberto de Jesus R. Santos</v>
      </c>
      <c r="E34" t="str">
        <f t="shared" si="1"/>
        <v>Gilberto de Jesus R. Santos</v>
      </c>
      <c r="F34" s="16">
        <v>356</v>
      </c>
      <c r="G34" s="16" t="s">
        <v>82</v>
      </c>
      <c r="H34" s="16" t="s">
        <v>113</v>
      </c>
      <c r="I34" s="16"/>
      <c r="J34" s="63"/>
      <c r="K34" t="str">
        <f t="shared" si="2"/>
        <v>Tiago dos Santos Torres</v>
      </c>
      <c r="N34" t="str">
        <f t="shared" si="3"/>
        <v>Railson Pinheiro Soaras</v>
      </c>
      <c r="O34" t="str">
        <f t="shared" si="4"/>
        <v>Railson Pinheiro Soaras</v>
      </c>
      <c r="P34" s="28">
        <v>331</v>
      </c>
      <c r="Q34" s="28"/>
      <c r="R34" s="28" t="s">
        <v>78</v>
      </c>
      <c r="S34" s="28" t="s">
        <v>146</v>
      </c>
      <c r="T34" s="28" t="s">
        <v>175</v>
      </c>
      <c r="U34" s="43">
        <v>6</v>
      </c>
      <c r="V34" s="28" t="s">
        <v>214</v>
      </c>
      <c r="W34" s="28"/>
      <c r="X34" s="41">
        <v>1417</v>
      </c>
      <c r="Y34" s="29">
        <v>45412</v>
      </c>
      <c r="Z34" s="29"/>
      <c r="AA34" s="29">
        <v>45446</v>
      </c>
    </row>
    <row r="35" spans="1:30">
      <c r="A35" s="26">
        <v>272</v>
      </c>
      <c r="B35" s="27" t="s">
        <v>62</v>
      </c>
      <c r="C35" s="26" t="s">
        <v>5</v>
      </c>
      <c r="D35" t="str">
        <f t="shared" si="0"/>
        <v>Gledson Macena Barbosa</v>
      </c>
      <c r="E35" t="str">
        <f t="shared" si="1"/>
        <v>Gledson Macena Barbosa</v>
      </c>
      <c r="F35" s="16">
        <v>358</v>
      </c>
      <c r="G35" s="16" t="s">
        <v>85</v>
      </c>
      <c r="H35" s="16" t="s">
        <v>55</v>
      </c>
      <c r="I35" s="50"/>
      <c r="J35" s="63"/>
      <c r="K35" t="str">
        <f t="shared" si="2"/>
        <v>Anselmo Martins</v>
      </c>
      <c r="N35" t="str">
        <f t="shared" si="3"/>
        <v>José Daniel da Silva</v>
      </c>
      <c r="O35" t="str">
        <f t="shared" si="4"/>
        <v>José Daniel da Silva</v>
      </c>
      <c r="P35" s="28">
        <v>336</v>
      </c>
      <c r="Q35" s="28"/>
      <c r="R35" s="28" t="s">
        <v>79</v>
      </c>
      <c r="S35" s="28" t="s">
        <v>133</v>
      </c>
      <c r="T35" s="28" t="s">
        <v>169</v>
      </c>
      <c r="U35" s="43">
        <v>16</v>
      </c>
      <c r="V35" s="28" t="s">
        <v>215</v>
      </c>
      <c r="W35" s="28"/>
      <c r="X35" s="41">
        <v>1417</v>
      </c>
      <c r="Y35" s="29">
        <v>45418</v>
      </c>
      <c r="Z35" s="29"/>
      <c r="AA35" s="29">
        <v>45566</v>
      </c>
    </row>
    <row r="36" spans="1:30">
      <c r="A36" s="26">
        <v>446</v>
      </c>
      <c r="B36" s="27" t="s">
        <v>120</v>
      </c>
      <c r="C36" s="26" t="s">
        <v>5</v>
      </c>
      <c r="D36" t="str">
        <f t="shared" si="0"/>
        <v>Heloisa Andre de Sousa Coimbra</v>
      </c>
      <c r="E36" t="str">
        <f t="shared" si="1"/>
        <v>Heloisa Andre de Sousa Coimbra</v>
      </c>
      <c r="F36" s="16">
        <v>369</v>
      </c>
      <c r="G36" s="16" t="s">
        <v>87</v>
      </c>
      <c r="H36" s="16" t="s">
        <v>51</v>
      </c>
      <c r="I36" s="16"/>
      <c r="J36" s="63"/>
      <c r="K36" t="str">
        <f t="shared" si="2"/>
        <v>Maria Erica de Sousa Lima</v>
      </c>
      <c r="N36" t="str">
        <f t="shared" si="3"/>
        <v>Diogo catanhede Coqueiro</v>
      </c>
      <c r="O36" t="str">
        <f t="shared" si="4"/>
        <v>Diogo catanhede Coqueiro</v>
      </c>
      <c r="P36" s="28">
        <v>346</v>
      </c>
      <c r="Q36" s="28"/>
      <c r="R36" s="28" t="s">
        <v>80</v>
      </c>
      <c r="S36" s="28" t="s">
        <v>93</v>
      </c>
      <c r="T36" s="28" t="s">
        <v>169</v>
      </c>
      <c r="U36" s="43">
        <v>7</v>
      </c>
      <c r="V36" s="28" t="s">
        <v>216</v>
      </c>
      <c r="W36" s="28"/>
      <c r="X36" s="41">
        <v>1417</v>
      </c>
      <c r="Y36" s="29">
        <v>45433</v>
      </c>
      <c r="Z36" s="29"/>
      <c r="AA36" s="29">
        <v>45512</v>
      </c>
    </row>
    <row r="37" spans="1:30">
      <c r="A37" s="26">
        <v>412</v>
      </c>
      <c r="B37" s="27" t="s">
        <v>107</v>
      </c>
      <c r="C37" s="26" t="s">
        <v>5</v>
      </c>
      <c r="D37" t="str">
        <f t="shared" si="0"/>
        <v>Hernandes Gouveia Silva</v>
      </c>
      <c r="E37" t="str">
        <f t="shared" si="1"/>
        <v>Hernandes Gouveia Silva</v>
      </c>
      <c r="F37" s="16">
        <v>370</v>
      </c>
      <c r="G37" s="16" t="s">
        <v>88</v>
      </c>
      <c r="H37" s="16" t="s">
        <v>51</v>
      </c>
      <c r="I37" s="16"/>
      <c r="J37" s="63"/>
      <c r="K37" t="str">
        <f t="shared" si="2"/>
        <v>Adriane Rodrigues da Silva</v>
      </c>
      <c r="N37" t="str">
        <f t="shared" si="3"/>
        <v>Tiago dos Santos Torres</v>
      </c>
      <c r="O37" t="str">
        <f t="shared" si="4"/>
        <v>Tiago dos Santos Torres</v>
      </c>
      <c r="P37" s="28">
        <v>356</v>
      </c>
      <c r="Q37" s="28"/>
      <c r="R37" s="28" t="s">
        <v>82</v>
      </c>
      <c r="S37" s="28" t="s">
        <v>113</v>
      </c>
      <c r="T37" s="28" t="s">
        <v>169</v>
      </c>
      <c r="U37" s="43">
        <v>10</v>
      </c>
      <c r="V37" s="28" t="s">
        <v>217</v>
      </c>
      <c r="W37" s="28"/>
      <c r="X37" s="41">
        <v>1417</v>
      </c>
      <c r="Y37" s="29">
        <v>45469</v>
      </c>
      <c r="Z37" s="29"/>
      <c r="AA37" s="29">
        <v>45566</v>
      </c>
    </row>
    <row r="38" spans="1:30">
      <c r="A38" s="26">
        <v>309</v>
      </c>
      <c r="B38" s="27" t="s">
        <v>61</v>
      </c>
      <c r="C38" s="26" t="s">
        <v>5</v>
      </c>
      <c r="D38" t="str">
        <f t="shared" si="0"/>
        <v>Hernandes Vieira de Oliveira</v>
      </c>
      <c r="E38" t="str">
        <f t="shared" si="1"/>
        <v>Hernandes Vieira de Oliveira</v>
      </c>
      <c r="F38" s="22">
        <v>372</v>
      </c>
      <c r="G38" s="22" t="s">
        <v>89</v>
      </c>
      <c r="H38" s="16" t="s">
        <v>84</v>
      </c>
      <c r="I38" s="16"/>
      <c r="J38" s="63"/>
      <c r="K38" t="str">
        <f t="shared" si="2"/>
        <v>Jhonny Moraes Salazar</v>
      </c>
      <c r="N38" t="str">
        <f t="shared" si="3"/>
        <v>Anselmo Martins</v>
      </c>
      <c r="O38" t="str">
        <f t="shared" si="4"/>
        <v>Anselmo Martins</v>
      </c>
      <c r="P38" s="28">
        <v>358</v>
      </c>
      <c r="Q38" s="28"/>
      <c r="R38" s="28" t="s">
        <v>85</v>
      </c>
      <c r="S38" s="28" t="s">
        <v>55</v>
      </c>
      <c r="T38" s="28" t="s">
        <v>175</v>
      </c>
      <c r="U38" s="43">
        <v>2</v>
      </c>
      <c r="V38" s="28" t="s">
        <v>85</v>
      </c>
      <c r="W38" s="28"/>
      <c r="X38" s="41">
        <v>1417</v>
      </c>
      <c r="Y38" s="29">
        <v>45483</v>
      </c>
      <c r="Z38" s="29"/>
      <c r="AA38" s="29">
        <v>45551</v>
      </c>
    </row>
    <row r="39" spans="1:30">
      <c r="A39" s="26">
        <v>149</v>
      </c>
      <c r="B39" s="27" t="s">
        <v>34</v>
      </c>
      <c r="C39" s="26" t="s">
        <v>5</v>
      </c>
      <c r="D39" t="e">
        <f t="shared" si="0"/>
        <v>#N/A</v>
      </c>
      <c r="E39" t="str">
        <f t="shared" si="1"/>
        <v>Iraci Pinheiro</v>
      </c>
      <c r="F39" s="16">
        <v>373</v>
      </c>
      <c r="G39" s="16" t="s">
        <v>94</v>
      </c>
      <c r="H39" s="16" t="s">
        <v>93</v>
      </c>
      <c r="I39" s="16"/>
      <c r="J39" s="63"/>
      <c r="K39" t="str">
        <f t="shared" si="2"/>
        <v>Antonio Gleison Vieira da Silva</v>
      </c>
      <c r="N39" t="str">
        <f t="shared" si="3"/>
        <v>Maria Erica de Sousa Lima</v>
      </c>
      <c r="O39" t="str">
        <f t="shared" si="4"/>
        <v>Maria Erica de Sousa Lima</v>
      </c>
      <c r="P39" s="28">
        <v>369</v>
      </c>
      <c r="Q39" s="28"/>
      <c r="R39" s="28" t="s">
        <v>87</v>
      </c>
      <c r="S39" s="28" t="s">
        <v>51</v>
      </c>
      <c r="T39" s="28" t="s">
        <v>175</v>
      </c>
      <c r="U39" s="43">
        <v>8</v>
      </c>
      <c r="V39" s="28" t="s">
        <v>218</v>
      </c>
      <c r="W39" s="28"/>
      <c r="X39" s="41">
        <v>1417</v>
      </c>
      <c r="Y39" s="29">
        <v>45540</v>
      </c>
      <c r="Z39" s="29"/>
      <c r="AA39" s="29">
        <v>45736</v>
      </c>
    </row>
    <row r="40" spans="1:30">
      <c r="A40" s="26">
        <v>194</v>
      </c>
      <c r="B40" s="27" t="s">
        <v>35</v>
      </c>
      <c r="C40" s="26" t="s">
        <v>5</v>
      </c>
      <c r="D40" t="str">
        <f t="shared" si="0"/>
        <v>Ismael Pereira silva</v>
      </c>
      <c r="E40" t="str">
        <f t="shared" si="1"/>
        <v>Ismael Pereira silva</v>
      </c>
      <c r="F40" s="16">
        <v>374</v>
      </c>
      <c r="G40" s="16" t="s">
        <v>90</v>
      </c>
      <c r="H40" s="16" t="s">
        <v>91</v>
      </c>
      <c r="I40" s="16"/>
      <c r="J40" s="63"/>
      <c r="K40" t="str">
        <f t="shared" si="2"/>
        <v>Gabriel Lima Martins dos Santos</v>
      </c>
      <c r="N40" t="str">
        <f t="shared" si="3"/>
        <v>Adriane Rodrigues da Silva</v>
      </c>
      <c r="O40" t="str">
        <f t="shared" si="4"/>
        <v>Adriane Rodrigues da Silva</v>
      </c>
      <c r="P40" s="28">
        <v>370</v>
      </c>
      <c r="Q40" s="28"/>
      <c r="R40" s="28" t="s">
        <v>88</v>
      </c>
      <c r="S40" s="28" t="s">
        <v>51</v>
      </c>
      <c r="T40" s="28" t="s">
        <v>175</v>
      </c>
      <c r="U40" s="43">
        <v>8</v>
      </c>
      <c r="V40" s="28" t="s">
        <v>219</v>
      </c>
      <c r="W40" s="28"/>
      <c r="X40" s="41">
        <v>1417</v>
      </c>
      <c r="Y40" s="29">
        <v>45546</v>
      </c>
      <c r="Z40" s="29"/>
      <c r="AA40" s="29">
        <v>45649</v>
      </c>
      <c r="AB40" t="s">
        <v>220</v>
      </c>
      <c r="AD40" t="s">
        <v>221</v>
      </c>
    </row>
    <row r="41" spans="1:30">
      <c r="A41" s="26">
        <v>82</v>
      </c>
      <c r="B41" s="27" t="s">
        <v>36</v>
      </c>
      <c r="C41" s="26" t="s">
        <v>5</v>
      </c>
      <c r="D41" t="e">
        <f t="shared" si="0"/>
        <v>#N/A</v>
      </c>
      <c r="E41" t="str">
        <f t="shared" si="1"/>
        <v>Jadson Magno Gomes  Sa</v>
      </c>
      <c r="F41" s="16">
        <v>398</v>
      </c>
      <c r="G41" s="16" t="s">
        <v>100</v>
      </c>
      <c r="H41" s="16" t="s">
        <v>153</v>
      </c>
      <c r="I41" s="16"/>
      <c r="J41" s="63"/>
      <c r="K41" t="str">
        <f t="shared" si="2"/>
        <v>Lucas Negreiros de Moraes</v>
      </c>
      <c r="N41" t="str">
        <f t="shared" si="3"/>
        <v>Jhonny Moraes Salazar</v>
      </c>
      <c r="O41" t="str">
        <f t="shared" si="4"/>
        <v>Jhonny Moraes Salazar</v>
      </c>
      <c r="P41" s="28">
        <v>372</v>
      </c>
      <c r="Q41" s="28"/>
      <c r="R41" s="28" t="s">
        <v>89</v>
      </c>
      <c r="S41" s="28" t="s">
        <v>84</v>
      </c>
      <c r="T41" s="28" t="s">
        <v>175</v>
      </c>
      <c r="U41" s="43">
        <v>7</v>
      </c>
      <c r="V41" s="28" t="s">
        <v>222</v>
      </c>
      <c r="W41" s="28"/>
      <c r="X41" s="41">
        <v>1417</v>
      </c>
      <c r="Y41" s="29">
        <v>45543</v>
      </c>
      <c r="Z41" s="29"/>
      <c r="AA41" s="29">
        <v>45679</v>
      </c>
      <c r="AD41" t="s">
        <v>223</v>
      </c>
    </row>
    <row r="42" spans="1:30">
      <c r="A42" s="26">
        <v>480</v>
      </c>
      <c r="B42" s="27" t="s">
        <v>163</v>
      </c>
      <c r="C42" s="26" t="s">
        <v>27</v>
      </c>
      <c r="D42" t="str">
        <f t="shared" si="0"/>
        <v>Jessica Andreia Moraes da Costa</v>
      </c>
      <c r="E42" t="str">
        <f t="shared" si="1"/>
        <v>Jessica Andreia Moraes da Costa</v>
      </c>
      <c r="F42" s="16">
        <v>402</v>
      </c>
      <c r="G42" s="16" t="s">
        <v>103</v>
      </c>
      <c r="H42" s="16" t="s">
        <v>84</v>
      </c>
      <c r="I42" s="16"/>
      <c r="J42" s="63"/>
      <c r="K42" t="str">
        <f t="shared" si="2"/>
        <v>Wellington Rodrigues Cruz</v>
      </c>
      <c r="N42" t="str">
        <f t="shared" si="3"/>
        <v>Antonio Gleison Vieira da Silva</v>
      </c>
      <c r="O42" t="str">
        <f t="shared" si="4"/>
        <v>Antonio Gleison Vieira da Silva</v>
      </c>
      <c r="P42" s="28">
        <v>373</v>
      </c>
      <c r="Q42" s="28"/>
      <c r="R42" s="28" t="s">
        <v>94</v>
      </c>
      <c r="S42" s="28" t="s">
        <v>93</v>
      </c>
      <c r="T42" s="28" t="s">
        <v>169</v>
      </c>
      <c r="U42" s="28">
        <v>7</v>
      </c>
      <c r="V42" s="28" t="s">
        <v>224</v>
      </c>
      <c r="W42" s="28"/>
      <c r="X42" s="41">
        <v>1417</v>
      </c>
      <c r="Y42" s="29">
        <v>45549</v>
      </c>
      <c r="Z42" s="29"/>
      <c r="AA42" s="29">
        <v>45726</v>
      </c>
    </row>
    <row r="43" spans="1:30">
      <c r="A43" s="26">
        <v>372</v>
      </c>
      <c r="B43" s="27" t="s">
        <v>89</v>
      </c>
      <c r="C43" s="26" t="s">
        <v>5</v>
      </c>
      <c r="D43" t="str">
        <f t="shared" si="0"/>
        <v>Jhonny Moraes Salazar</v>
      </c>
      <c r="E43" t="str">
        <f t="shared" si="1"/>
        <v>Jhonny Moraes Salazar</v>
      </c>
      <c r="F43" s="16">
        <v>406</v>
      </c>
      <c r="G43" s="16" t="s">
        <v>106</v>
      </c>
      <c r="H43" s="16" t="s">
        <v>93</v>
      </c>
      <c r="I43" s="16"/>
      <c r="J43" s="63"/>
      <c r="K43" t="str">
        <f t="shared" si="2"/>
        <v>Luis Fernando da Silva dos santos</v>
      </c>
      <c r="N43" t="str">
        <f t="shared" si="3"/>
        <v>Gabriel Lima Martins dos Santos</v>
      </c>
      <c r="O43" t="str">
        <f t="shared" si="4"/>
        <v>Gabriel Lima Martins dos Santos</v>
      </c>
      <c r="P43" s="28">
        <v>374</v>
      </c>
      <c r="Q43" s="28"/>
      <c r="R43" s="28" t="s">
        <v>90</v>
      </c>
      <c r="S43" s="28" t="s">
        <v>91</v>
      </c>
      <c r="T43" s="28" t="s">
        <v>175</v>
      </c>
      <c r="U43" s="43">
        <v>6</v>
      </c>
      <c r="V43" s="28" t="s">
        <v>225</v>
      </c>
      <c r="W43" s="28"/>
      <c r="X43" s="41">
        <v>1417</v>
      </c>
      <c r="Y43" s="29">
        <v>45548</v>
      </c>
      <c r="Z43" s="29"/>
      <c r="AA43" s="29">
        <v>45722</v>
      </c>
      <c r="AD43" t="s">
        <v>226</v>
      </c>
    </row>
    <row r="44" spans="1:30">
      <c r="A44" s="26">
        <v>472</v>
      </c>
      <c r="B44" s="27" t="s">
        <v>158</v>
      </c>
      <c r="C44" s="26" t="s">
        <v>27</v>
      </c>
      <c r="D44" t="e">
        <f t="shared" si="0"/>
        <v>#N/A</v>
      </c>
      <c r="E44" t="str">
        <f t="shared" si="1"/>
        <v>João Bezerra Junior</v>
      </c>
      <c r="F44" s="22">
        <v>412</v>
      </c>
      <c r="G44" s="22" t="s">
        <v>107</v>
      </c>
      <c r="H44" s="16" t="s">
        <v>83</v>
      </c>
      <c r="I44" s="50"/>
      <c r="J44" s="63"/>
      <c r="K44" t="str">
        <f t="shared" si="2"/>
        <v>Hernandes Gouveia Silva</v>
      </c>
      <c r="N44" t="str">
        <f t="shared" si="3"/>
        <v>Lucas Negreiros de Moraes</v>
      </c>
      <c r="O44" t="str">
        <f t="shared" si="4"/>
        <v>Lucas Negreiros de Moraes</v>
      </c>
      <c r="P44" s="28">
        <v>398</v>
      </c>
      <c r="Q44" s="28"/>
      <c r="R44" s="28" t="s">
        <v>100</v>
      </c>
      <c r="S44" s="28" t="s">
        <v>153</v>
      </c>
      <c r="T44" s="28" t="s">
        <v>169</v>
      </c>
      <c r="U44" s="43">
        <v>7</v>
      </c>
      <c r="V44" s="28" t="s">
        <v>227</v>
      </c>
      <c r="W44" s="28"/>
      <c r="X44" s="41">
        <v>1417</v>
      </c>
      <c r="Y44" s="29">
        <v>45667</v>
      </c>
      <c r="Z44" s="29"/>
      <c r="AA44" s="29">
        <v>45736</v>
      </c>
    </row>
    <row r="45" spans="1:30">
      <c r="A45" s="26">
        <v>336</v>
      </c>
      <c r="B45" s="27" t="s">
        <v>79</v>
      </c>
      <c r="C45" s="26" t="s">
        <v>5</v>
      </c>
      <c r="D45" t="str">
        <f t="shared" si="0"/>
        <v>José Daniel da Silva</v>
      </c>
      <c r="E45" t="str">
        <f t="shared" si="1"/>
        <v>José Daniel da Silva</v>
      </c>
      <c r="F45" s="16">
        <v>427</v>
      </c>
      <c r="G45" s="16" t="s">
        <v>109</v>
      </c>
      <c r="H45" s="16" t="s">
        <v>93</v>
      </c>
      <c r="I45" s="16"/>
      <c r="J45" s="63"/>
      <c r="K45" t="str">
        <f t="shared" si="2"/>
        <v>Samuel Marnho  do Nascimento</v>
      </c>
      <c r="N45" t="str">
        <f t="shared" si="3"/>
        <v>Cledes martins de Sousa</v>
      </c>
      <c r="O45" t="e">
        <f t="shared" si="4"/>
        <v>#N/A</v>
      </c>
      <c r="P45" s="28">
        <v>399</v>
      </c>
      <c r="Q45" s="28"/>
      <c r="R45" s="28" t="s">
        <v>101</v>
      </c>
      <c r="S45" s="28" t="s">
        <v>102</v>
      </c>
      <c r="T45" s="28" t="s">
        <v>175</v>
      </c>
      <c r="U45" s="43">
        <v>2</v>
      </c>
      <c r="V45" s="28" t="s">
        <v>228</v>
      </c>
      <c r="W45" s="28"/>
      <c r="X45" s="41">
        <v>1417</v>
      </c>
      <c r="Y45" s="29">
        <v>45659</v>
      </c>
      <c r="Z45" s="29"/>
      <c r="AA45" s="29">
        <v>45751</v>
      </c>
      <c r="AD45" t="s">
        <v>229</v>
      </c>
    </row>
    <row r="46" spans="1:30">
      <c r="A46" s="26">
        <v>256</v>
      </c>
      <c r="B46" s="27" t="s">
        <v>46</v>
      </c>
      <c r="C46" s="26" t="s">
        <v>5</v>
      </c>
      <c r="D46" t="str">
        <f t="shared" si="0"/>
        <v>Lazaro Pinheiro Junior</v>
      </c>
      <c r="E46" t="str">
        <f t="shared" si="1"/>
        <v>Lazaro Pinheiro Junior</v>
      </c>
      <c r="F46" s="16">
        <v>428</v>
      </c>
      <c r="G46" s="16" t="s">
        <v>110</v>
      </c>
      <c r="H46" s="16" t="s">
        <v>86</v>
      </c>
      <c r="I46" s="16"/>
      <c r="J46" s="63"/>
      <c r="K46" t="str">
        <f t="shared" si="2"/>
        <v>Adriano Sousa Pereira</v>
      </c>
      <c r="N46" t="str">
        <f t="shared" si="3"/>
        <v>Wellington Rodrigues Cruz</v>
      </c>
      <c r="O46" t="str">
        <f t="shared" si="4"/>
        <v>Wellington Rodrigues Cruz</v>
      </c>
      <c r="P46" s="28">
        <v>402</v>
      </c>
      <c r="Q46" s="28"/>
      <c r="R46" s="28" t="s">
        <v>103</v>
      </c>
      <c r="S46" s="28" t="s">
        <v>84</v>
      </c>
      <c r="T46" s="28" t="s">
        <v>175</v>
      </c>
      <c r="U46" s="43">
        <v>7</v>
      </c>
      <c r="V46" s="28" t="s">
        <v>230</v>
      </c>
      <c r="W46" s="28"/>
      <c r="X46" s="41">
        <v>1417</v>
      </c>
      <c r="Y46" s="29">
        <v>45712</v>
      </c>
      <c r="Z46" s="29"/>
      <c r="AA46" s="29">
        <v>45856</v>
      </c>
    </row>
    <row r="47" spans="1:30">
      <c r="A47" s="21">
        <v>229</v>
      </c>
      <c r="B47" s="16" t="s">
        <v>44</v>
      </c>
      <c r="C47" s="21" t="s">
        <v>5</v>
      </c>
      <c r="D47" t="str">
        <f t="shared" si="0"/>
        <v>Leandro Sousa Lopes</v>
      </c>
      <c r="E47" t="str">
        <f t="shared" si="1"/>
        <v>Leandro Sousa Lopes</v>
      </c>
      <c r="F47" s="22">
        <v>430</v>
      </c>
      <c r="G47" s="22" t="s">
        <v>112</v>
      </c>
      <c r="H47" s="16" t="s">
        <v>93</v>
      </c>
      <c r="I47" s="16"/>
      <c r="J47" s="63"/>
      <c r="K47" t="str">
        <f t="shared" si="2"/>
        <v>Lismarque de Jesus França Pinheiro</v>
      </c>
      <c r="N47" t="str">
        <f t="shared" si="3"/>
        <v>Luis Fernando da Silva dos santos</v>
      </c>
      <c r="O47" t="str">
        <f t="shared" si="4"/>
        <v>Luis Fernando da Silva dos santos</v>
      </c>
      <c r="P47" s="28">
        <v>406</v>
      </c>
      <c r="Q47" s="28"/>
      <c r="R47" s="28" t="s">
        <v>106</v>
      </c>
      <c r="S47" s="28" t="s">
        <v>93</v>
      </c>
      <c r="T47" s="28" t="s">
        <v>169</v>
      </c>
      <c r="U47" s="43">
        <v>7</v>
      </c>
      <c r="V47" s="28" t="s">
        <v>231</v>
      </c>
      <c r="W47" s="28"/>
      <c r="X47" s="41">
        <v>1417</v>
      </c>
      <c r="Y47" s="29">
        <v>45741</v>
      </c>
      <c r="Z47" s="29"/>
      <c r="AA47" s="29">
        <v>45840</v>
      </c>
    </row>
    <row r="48" spans="1:30">
      <c r="A48" s="26">
        <v>430</v>
      </c>
      <c r="B48" s="27" t="s">
        <v>112</v>
      </c>
      <c r="C48" s="26" t="s">
        <v>5</v>
      </c>
      <c r="D48" t="str">
        <f t="shared" si="0"/>
        <v>Lismarque de Jesus França Pinheiro</v>
      </c>
      <c r="E48" t="str">
        <f t="shared" si="1"/>
        <v>Lismarque de Jesus França Pinheiro</v>
      </c>
      <c r="F48" s="22">
        <v>439</v>
      </c>
      <c r="G48" s="22" t="s">
        <v>116</v>
      </c>
      <c r="H48" s="16" t="s">
        <v>67</v>
      </c>
      <c r="I48" s="16"/>
      <c r="J48" s="63"/>
      <c r="K48" t="str">
        <f t="shared" si="2"/>
        <v>Tiago Silva Frazao</v>
      </c>
      <c r="N48" t="str">
        <f t="shared" si="3"/>
        <v>Hernandes Gouveia Silva</v>
      </c>
      <c r="O48" t="str">
        <f t="shared" si="4"/>
        <v>Hernandes Gouveia Silva</v>
      </c>
      <c r="P48" s="28">
        <v>412</v>
      </c>
      <c r="Q48" s="28"/>
      <c r="R48" s="28" t="s">
        <v>107</v>
      </c>
      <c r="S48" s="28" t="s">
        <v>83</v>
      </c>
      <c r="T48" s="28" t="s">
        <v>169</v>
      </c>
      <c r="U48" s="43">
        <v>5</v>
      </c>
      <c r="V48" s="28" t="s">
        <v>232</v>
      </c>
      <c r="W48" s="28"/>
      <c r="X48" s="41">
        <v>1417</v>
      </c>
      <c r="Y48" s="29">
        <v>45755</v>
      </c>
      <c r="Z48" s="29"/>
      <c r="AA48" s="29">
        <v>45862</v>
      </c>
    </row>
    <row r="49" spans="1:30">
      <c r="A49" s="16">
        <v>398</v>
      </c>
      <c r="B49" s="16" t="s">
        <v>100</v>
      </c>
      <c r="C49" s="21" t="s">
        <v>5</v>
      </c>
      <c r="D49" t="str">
        <f t="shared" si="0"/>
        <v>Lucas Negreiros de Moraes</v>
      </c>
      <c r="E49" t="str">
        <f t="shared" si="1"/>
        <v>Lucas Negreiros de Moraes</v>
      </c>
      <c r="F49" s="16">
        <v>441</v>
      </c>
      <c r="G49" s="16" t="s">
        <v>43</v>
      </c>
      <c r="H49" s="16" t="s">
        <v>133</v>
      </c>
      <c r="I49" s="50"/>
      <c r="J49" s="63"/>
      <c r="K49" t="str">
        <f t="shared" si="2"/>
        <v>Wilderson Goncalves de Sousa</v>
      </c>
      <c r="N49" t="str">
        <f t="shared" si="3"/>
        <v>Samuel Marnho  do Nascimento</v>
      </c>
      <c r="O49" t="str">
        <f t="shared" si="4"/>
        <v>Samuel Marnho  do Nascimento</v>
      </c>
      <c r="P49" s="28">
        <v>427</v>
      </c>
      <c r="Q49" s="28"/>
      <c r="R49" s="28" t="s">
        <v>109</v>
      </c>
      <c r="S49" s="28" t="s">
        <v>93</v>
      </c>
      <c r="T49" s="28" t="s">
        <v>169</v>
      </c>
      <c r="U49" s="43">
        <v>7</v>
      </c>
      <c r="V49" s="28" t="s">
        <v>233</v>
      </c>
      <c r="W49" s="28"/>
      <c r="X49" s="41">
        <v>1417</v>
      </c>
      <c r="Y49" s="29">
        <v>45783</v>
      </c>
      <c r="Z49" s="29"/>
      <c r="AA49" s="29">
        <v>45840</v>
      </c>
    </row>
    <row r="50" spans="1:30">
      <c r="A50" s="21">
        <v>460</v>
      </c>
      <c r="B50" s="16" t="s">
        <v>144</v>
      </c>
      <c r="C50" s="21" t="s">
        <v>5</v>
      </c>
      <c r="D50" t="str">
        <f t="shared" si="0"/>
        <v>Lucas Wytallo Santos</v>
      </c>
      <c r="E50" t="str">
        <f t="shared" si="1"/>
        <v>Lucas Wytallo Santos</v>
      </c>
      <c r="F50" s="16">
        <v>445</v>
      </c>
      <c r="G50" s="16" t="s">
        <v>119</v>
      </c>
      <c r="H50" s="16" t="s">
        <v>99</v>
      </c>
      <c r="I50" s="16"/>
      <c r="J50" s="63"/>
      <c r="K50" t="str">
        <f t="shared" si="2"/>
        <v>Danielle Cristine Dias Pinheiro</v>
      </c>
      <c r="N50" t="str">
        <f t="shared" si="3"/>
        <v>Adriano Sousa Pereira</v>
      </c>
      <c r="O50" t="str">
        <f t="shared" si="4"/>
        <v>Adriano Sousa Pereira</v>
      </c>
      <c r="P50" s="28">
        <v>428</v>
      </c>
      <c r="Q50" s="28"/>
      <c r="R50" s="28" t="s">
        <v>110</v>
      </c>
      <c r="S50" s="28" t="s">
        <v>86</v>
      </c>
      <c r="T50" s="28" t="s">
        <v>169</v>
      </c>
      <c r="U50" s="43">
        <v>4</v>
      </c>
      <c r="V50" s="28" t="s">
        <v>234</v>
      </c>
      <c r="W50" s="28"/>
      <c r="X50" s="41">
        <v>1417</v>
      </c>
      <c r="Y50" s="29">
        <v>45794</v>
      </c>
      <c r="Z50" s="29"/>
      <c r="AA50" s="29">
        <v>45862</v>
      </c>
    </row>
    <row r="51" spans="1:30">
      <c r="A51" s="26">
        <v>406</v>
      </c>
      <c r="B51" s="27" t="s">
        <v>106</v>
      </c>
      <c r="C51" s="26" t="s">
        <v>5</v>
      </c>
      <c r="D51" t="str">
        <f t="shared" si="0"/>
        <v>Luis Fernando da Silva dos santos</v>
      </c>
      <c r="E51" t="str">
        <f t="shared" si="1"/>
        <v>Luis Fernando da Silva dos santos</v>
      </c>
      <c r="F51" s="16">
        <v>446</v>
      </c>
      <c r="G51" s="16" t="s">
        <v>120</v>
      </c>
      <c r="H51" s="16" t="s">
        <v>55</v>
      </c>
      <c r="I51" s="16"/>
      <c r="J51" s="64"/>
      <c r="K51" t="str">
        <f t="shared" si="2"/>
        <v>Heloisa Andre de Sousa Coimbra</v>
      </c>
      <c r="N51" t="str">
        <f t="shared" si="3"/>
        <v>Lismarque de Jesus França Pinheiro</v>
      </c>
      <c r="O51" t="str">
        <f t="shared" si="4"/>
        <v>Lismarque de Jesus França Pinheiro</v>
      </c>
      <c r="P51" s="28">
        <v>430</v>
      </c>
      <c r="Q51" s="28"/>
      <c r="R51" s="28" t="s">
        <v>112</v>
      </c>
      <c r="S51" s="28" t="s">
        <v>93</v>
      </c>
      <c r="T51" s="28" t="s">
        <v>169</v>
      </c>
      <c r="U51" s="43">
        <v>7</v>
      </c>
      <c r="V51" s="28" t="s">
        <v>235</v>
      </c>
      <c r="W51" s="28"/>
      <c r="X51" s="41">
        <v>1417</v>
      </c>
      <c r="Y51" s="29">
        <v>45797</v>
      </c>
      <c r="Z51" s="29">
        <v>46055</v>
      </c>
      <c r="AA51" s="29">
        <v>45840</v>
      </c>
    </row>
    <row r="52" spans="1:30">
      <c r="A52" s="26">
        <v>187</v>
      </c>
      <c r="B52" s="27" t="s">
        <v>37</v>
      </c>
      <c r="C52" s="26" t="s">
        <v>5</v>
      </c>
      <c r="D52" t="str">
        <f t="shared" si="0"/>
        <v>Luis Gonçalves Silva</v>
      </c>
      <c r="E52" t="str">
        <f t="shared" si="1"/>
        <v>Luis Gonçalves Silva</v>
      </c>
      <c r="F52" s="16">
        <v>447</v>
      </c>
      <c r="G52" s="16" t="s">
        <v>121</v>
      </c>
      <c r="H52" s="16" t="s">
        <v>113</v>
      </c>
      <c r="I52" s="16"/>
      <c r="J52" s="63"/>
      <c r="K52" t="str">
        <f t="shared" si="2"/>
        <v>Rodrigo Martins</v>
      </c>
      <c r="N52" t="str">
        <f t="shared" si="3"/>
        <v>Tiago Silva Frazao</v>
      </c>
      <c r="O52" t="str">
        <f t="shared" si="4"/>
        <v>Tiago Silva Frazao</v>
      </c>
      <c r="P52" s="28">
        <v>439</v>
      </c>
      <c r="Q52" s="28"/>
      <c r="R52" s="28" t="s">
        <v>116</v>
      </c>
      <c r="S52" s="28" t="s">
        <v>67</v>
      </c>
      <c r="T52" s="28" t="s">
        <v>169</v>
      </c>
      <c r="U52" s="43">
        <v>8</v>
      </c>
      <c r="V52" s="28" t="s">
        <v>236</v>
      </c>
      <c r="W52" s="28"/>
      <c r="X52" s="41">
        <v>1417</v>
      </c>
      <c r="Y52" s="29">
        <v>45828</v>
      </c>
      <c r="Z52" s="29"/>
      <c r="AA52" s="29">
        <v>45931</v>
      </c>
    </row>
    <row r="53" spans="1:30">
      <c r="A53" s="16">
        <v>321</v>
      </c>
      <c r="B53" s="16" t="s">
        <v>77</v>
      </c>
      <c r="C53" s="21" t="s">
        <v>5</v>
      </c>
      <c r="D53" t="str">
        <f t="shared" si="0"/>
        <v>Marcos Cesar Costa</v>
      </c>
      <c r="E53" t="str">
        <f t="shared" si="1"/>
        <v>Marcos Cesar Costa</v>
      </c>
      <c r="F53" s="16">
        <v>448</v>
      </c>
      <c r="G53" s="16" t="s">
        <v>92</v>
      </c>
      <c r="H53" s="16" t="s">
        <v>93</v>
      </c>
      <c r="I53" s="16"/>
      <c r="J53" s="63"/>
      <c r="K53" t="e">
        <f t="shared" si="2"/>
        <v>#N/A</v>
      </c>
      <c r="N53" t="str">
        <f t="shared" si="3"/>
        <v>Wilderson Goncalves de Sousa</v>
      </c>
      <c r="O53" t="str">
        <f t="shared" si="4"/>
        <v>Wilderson Goncalves de Sousa</v>
      </c>
      <c r="P53" s="28">
        <v>441</v>
      </c>
      <c r="Q53" s="28"/>
      <c r="R53" s="28" t="s">
        <v>43</v>
      </c>
      <c r="S53" s="28" t="s">
        <v>133</v>
      </c>
      <c r="T53" s="28" t="s">
        <v>169</v>
      </c>
      <c r="U53" s="43">
        <v>16</v>
      </c>
      <c r="V53" s="28" t="s">
        <v>237</v>
      </c>
      <c r="W53" s="28"/>
      <c r="X53" s="41">
        <v>1417</v>
      </c>
      <c r="Y53" s="29">
        <v>45847</v>
      </c>
      <c r="Z53" s="29"/>
      <c r="AA53" s="29">
        <v>46042</v>
      </c>
    </row>
    <row r="54" spans="1:30">
      <c r="A54" s="26">
        <v>311</v>
      </c>
      <c r="B54" s="27" t="s">
        <v>75</v>
      </c>
      <c r="C54" s="26" t="s">
        <v>5</v>
      </c>
      <c r="D54" t="str">
        <f t="shared" si="0"/>
        <v>Maria Bertila Gouveia dos Santos</v>
      </c>
      <c r="E54" t="str">
        <f t="shared" si="1"/>
        <v>Maria Bertila Gouveia dos Santos</v>
      </c>
      <c r="F54" s="16">
        <v>449</v>
      </c>
      <c r="G54" s="16" t="s">
        <v>135</v>
      </c>
      <c r="H54" s="16" t="s">
        <v>136</v>
      </c>
      <c r="I54" s="16"/>
      <c r="J54" s="63"/>
      <c r="K54" t="str">
        <f t="shared" si="2"/>
        <v>Carmen da Rocha Silva</v>
      </c>
      <c r="N54" t="str">
        <f t="shared" si="3"/>
        <v>Danielle Cristine Dias Pinheiro</v>
      </c>
      <c r="O54" t="str">
        <f t="shared" si="4"/>
        <v>Danielle Cristine Dias Pinheiro</v>
      </c>
      <c r="P54" s="28">
        <v>445</v>
      </c>
      <c r="Q54" s="28"/>
      <c r="R54" s="28" t="s">
        <v>119</v>
      </c>
      <c r="S54" s="28" t="s">
        <v>99</v>
      </c>
      <c r="T54" s="28" t="s">
        <v>175</v>
      </c>
      <c r="U54" s="43">
        <v>4</v>
      </c>
      <c r="V54" s="28" t="s">
        <v>238</v>
      </c>
      <c r="W54" s="28"/>
      <c r="X54" s="41">
        <v>1417</v>
      </c>
      <c r="Y54" s="29">
        <v>45880</v>
      </c>
      <c r="Z54" s="29"/>
      <c r="AA54" s="29">
        <v>45918</v>
      </c>
      <c r="AD54" t="s">
        <v>239</v>
      </c>
    </row>
    <row r="55" spans="1:30">
      <c r="A55" s="26">
        <v>369</v>
      </c>
      <c r="B55" s="27" t="s">
        <v>87</v>
      </c>
      <c r="C55" s="26" t="s">
        <v>5</v>
      </c>
      <c r="D55" t="str">
        <f t="shared" si="0"/>
        <v>Maria Erica de Sousa Lima</v>
      </c>
      <c r="E55" t="str">
        <f t="shared" si="1"/>
        <v>Maria Erica de Sousa Lima</v>
      </c>
      <c r="F55" s="22">
        <v>451</v>
      </c>
      <c r="G55" s="22" t="s">
        <v>137</v>
      </c>
      <c r="H55" s="16" t="s">
        <v>97</v>
      </c>
      <c r="I55" s="16"/>
      <c r="J55" s="63"/>
      <c r="K55" t="str">
        <f t="shared" si="2"/>
        <v>Raycleison Bezerra Santos</v>
      </c>
      <c r="N55" t="str">
        <f t="shared" si="3"/>
        <v>Heloisa Andre de Sousa Coimbra</v>
      </c>
      <c r="O55" t="str">
        <f t="shared" si="4"/>
        <v>Heloisa Andre de Sousa Coimbra</v>
      </c>
      <c r="P55" s="28">
        <v>446</v>
      </c>
      <c r="Q55" s="28"/>
      <c r="R55" s="28" t="s">
        <v>120</v>
      </c>
      <c r="S55" s="28" t="s">
        <v>55</v>
      </c>
      <c r="T55" s="28" t="s">
        <v>175</v>
      </c>
      <c r="U55" s="43">
        <v>2</v>
      </c>
      <c r="V55" s="28" t="s">
        <v>240</v>
      </c>
      <c r="W55" s="28"/>
      <c r="X55" s="41">
        <v>1417</v>
      </c>
      <c r="Y55" s="29">
        <v>45882</v>
      </c>
      <c r="Z55" s="29"/>
      <c r="AA55" s="29">
        <v>45908</v>
      </c>
      <c r="AD55" t="s">
        <v>241</v>
      </c>
    </row>
    <row r="56" spans="1:30">
      <c r="A56" s="26">
        <v>101</v>
      </c>
      <c r="B56" s="27" t="s">
        <v>38</v>
      </c>
      <c r="C56" s="26" t="s">
        <v>5</v>
      </c>
      <c r="D56" t="e">
        <f t="shared" si="0"/>
        <v>#N/A</v>
      </c>
      <c r="E56" t="str">
        <f t="shared" si="1"/>
        <v>Marianne Lima</v>
      </c>
      <c r="F56" s="16">
        <v>452</v>
      </c>
      <c r="G56" s="16" t="s">
        <v>138</v>
      </c>
      <c r="H56" s="16" t="s">
        <v>55</v>
      </c>
      <c r="I56" s="16"/>
      <c r="J56" s="63"/>
      <c r="K56" t="str">
        <f t="shared" si="2"/>
        <v>Vanilson Pintos da Silva</v>
      </c>
      <c r="N56" t="str">
        <f t="shared" si="3"/>
        <v>Rodrigo Martins</v>
      </c>
      <c r="O56" t="str">
        <f t="shared" si="4"/>
        <v>Rodrigo Martins</v>
      </c>
      <c r="P56" s="16">
        <v>447</v>
      </c>
      <c r="Q56" s="16"/>
      <c r="R56" s="16" t="s">
        <v>121</v>
      </c>
      <c r="S56" s="16" t="s">
        <v>113</v>
      </c>
      <c r="T56" s="16" t="s">
        <v>169</v>
      </c>
      <c r="U56" s="16">
        <v>10</v>
      </c>
      <c r="V56" s="16" t="s">
        <v>242</v>
      </c>
      <c r="W56" s="16"/>
      <c r="X56" s="41">
        <v>1417</v>
      </c>
      <c r="Y56" s="29">
        <v>45876</v>
      </c>
      <c r="Z56" s="29"/>
      <c r="AA56" s="29">
        <v>46055</v>
      </c>
    </row>
    <row r="57" spans="1:30">
      <c r="A57" s="26">
        <v>266</v>
      </c>
      <c r="B57" s="27" t="s">
        <v>59</v>
      </c>
      <c r="C57" s="26" t="s">
        <v>5</v>
      </c>
      <c r="D57" t="str">
        <f t="shared" si="0"/>
        <v>Mateus Alves Cardoso</v>
      </c>
      <c r="E57" t="str">
        <f t="shared" si="1"/>
        <v>Mateus Alves Cardoso</v>
      </c>
      <c r="F57" s="16">
        <v>453</v>
      </c>
      <c r="G57" s="16" t="s">
        <v>139</v>
      </c>
      <c r="H57" s="16" t="s">
        <v>56</v>
      </c>
      <c r="I57" s="50"/>
      <c r="J57" s="63"/>
      <c r="K57" t="str">
        <f t="shared" si="2"/>
        <v>Benilton Goveia dos santos</v>
      </c>
      <c r="N57" t="str">
        <f t="shared" si="3"/>
        <v>Carmen da Rocha Silva</v>
      </c>
      <c r="O57" t="str">
        <f t="shared" si="4"/>
        <v>Carmen da Rocha Silva</v>
      </c>
      <c r="P57" s="16">
        <v>449</v>
      </c>
      <c r="Q57" s="16"/>
      <c r="R57" s="16" t="s">
        <v>135</v>
      </c>
      <c r="S57" s="16" t="s">
        <v>136</v>
      </c>
      <c r="T57" s="16" t="s">
        <v>175</v>
      </c>
      <c r="U57" s="16">
        <v>4</v>
      </c>
      <c r="V57" s="16" t="s">
        <v>243</v>
      </c>
      <c r="W57" s="16"/>
      <c r="X57" s="41">
        <v>1417</v>
      </c>
      <c r="Y57" s="29">
        <v>45901</v>
      </c>
      <c r="Z57" s="29"/>
      <c r="AA57" s="29">
        <v>45977</v>
      </c>
      <c r="AD57" t="s">
        <v>239</v>
      </c>
    </row>
    <row r="58" spans="1:30">
      <c r="A58" s="26">
        <v>386</v>
      </c>
      <c r="B58" s="27" t="s">
        <v>95</v>
      </c>
      <c r="C58" s="26" t="s">
        <v>5</v>
      </c>
      <c r="D58" t="e">
        <f t="shared" si="0"/>
        <v>#N/A</v>
      </c>
      <c r="E58" t="e">
        <f t="shared" si="1"/>
        <v>#N/A</v>
      </c>
      <c r="F58" s="22">
        <v>457</v>
      </c>
      <c r="G58" s="22" t="s">
        <v>141</v>
      </c>
      <c r="H58" s="16" t="s">
        <v>136</v>
      </c>
      <c r="I58" s="16"/>
      <c r="J58" s="63"/>
      <c r="K58" t="str">
        <f t="shared" si="2"/>
        <v>Claudeci do Vale Reis</v>
      </c>
      <c r="N58" t="str">
        <f t="shared" si="3"/>
        <v>Raycleison Bezerra Santos</v>
      </c>
      <c r="O58" t="str">
        <f t="shared" si="4"/>
        <v>Raycleison Bezerra Santos</v>
      </c>
      <c r="P58" s="16">
        <v>451</v>
      </c>
      <c r="Q58" s="16"/>
      <c r="R58" s="16" t="s">
        <v>137</v>
      </c>
      <c r="S58" s="16" t="s">
        <v>97</v>
      </c>
      <c r="T58" s="16" t="s">
        <v>169</v>
      </c>
      <c r="U58" s="16">
        <v>9</v>
      </c>
      <c r="V58" s="16" t="s">
        <v>244</v>
      </c>
      <c r="W58" s="16"/>
      <c r="X58" s="41">
        <v>1417</v>
      </c>
      <c r="Y58" s="29">
        <v>45913</v>
      </c>
      <c r="Z58" s="29"/>
      <c r="AA58" s="29">
        <v>45977</v>
      </c>
    </row>
    <row r="59" spans="1:30">
      <c r="A59" s="26">
        <v>478</v>
      </c>
      <c r="B59" s="27" t="s">
        <v>162</v>
      </c>
      <c r="C59" s="26" t="s">
        <v>27</v>
      </c>
      <c r="D59" t="str">
        <f t="shared" si="0"/>
        <v>Moises marinho do Nascimento</v>
      </c>
      <c r="E59" t="str">
        <f t="shared" si="1"/>
        <v>Moises marinho do Nascimento</v>
      </c>
      <c r="F59" s="16">
        <v>458</v>
      </c>
      <c r="G59" s="16" t="s">
        <v>142</v>
      </c>
      <c r="H59" s="16" t="s">
        <v>65</v>
      </c>
      <c r="I59" s="16"/>
      <c r="J59" s="63"/>
      <c r="K59" t="e">
        <f t="shared" si="2"/>
        <v>#N/A</v>
      </c>
      <c r="N59" t="str">
        <f t="shared" si="3"/>
        <v>Vanilson Pintos da Silva</v>
      </c>
      <c r="O59" t="str">
        <f t="shared" si="4"/>
        <v>Vanilson Pintos da Silva</v>
      </c>
      <c r="P59" s="16">
        <v>452</v>
      </c>
      <c r="Q59" s="16"/>
      <c r="R59" s="16" t="s">
        <v>138</v>
      </c>
      <c r="S59" s="16" t="s">
        <v>55</v>
      </c>
      <c r="T59" s="16" t="s">
        <v>175</v>
      </c>
      <c r="U59" s="16">
        <v>2</v>
      </c>
      <c r="V59" s="16" t="s">
        <v>245</v>
      </c>
      <c r="W59" s="16"/>
      <c r="X59" s="41">
        <v>1417</v>
      </c>
      <c r="Y59" s="29">
        <v>45910</v>
      </c>
      <c r="Z59" s="29"/>
      <c r="AA59" s="29">
        <v>45946</v>
      </c>
    </row>
    <row r="60" spans="1:30">
      <c r="A60" s="26">
        <v>253</v>
      </c>
      <c r="B60" s="27" t="s">
        <v>45</v>
      </c>
      <c r="C60" s="26" t="s">
        <v>5</v>
      </c>
      <c r="D60" t="str">
        <f t="shared" si="0"/>
        <v>Paulo Figueredo Viana</v>
      </c>
      <c r="E60" t="str">
        <f t="shared" si="1"/>
        <v>Paulo Figueredo Viana</v>
      </c>
      <c r="F60" s="16">
        <v>459</v>
      </c>
      <c r="G60" s="16" t="s">
        <v>143</v>
      </c>
      <c r="H60" s="16" t="s">
        <v>111</v>
      </c>
      <c r="I60" s="16"/>
      <c r="J60" s="63"/>
      <c r="K60" t="str">
        <f t="shared" si="2"/>
        <v>Brayan Jhefferson Silveira</v>
      </c>
      <c r="N60" t="str">
        <f t="shared" si="3"/>
        <v>Benilton Goveia dos santos</v>
      </c>
      <c r="O60" t="str">
        <f t="shared" si="4"/>
        <v>Benilton Goveia dos santos</v>
      </c>
      <c r="P60" s="16">
        <v>453</v>
      </c>
      <c r="Q60" s="16"/>
      <c r="R60" s="16" t="s">
        <v>139</v>
      </c>
      <c r="S60" s="16" t="s">
        <v>56</v>
      </c>
      <c r="T60" s="16" t="s">
        <v>169</v>
      </c>
      <c r="U60" s="16">
        <v>11</v>
      </c>
      <c r="V60" s="16" t="s">
        <v>246</v>
      </c>
      <c r="W60" s="16"/>
      <c r="X60" s="41">
        <v>1417</v>
      </c>
      <c r="Y60" s="29">
        <v>45908</v>
      </c>
      <c r="Z60" s="29"/>
      <c r="AA60" s="29">
        <v>45934</v>
      </c>
    </row>
    <row r="61" spans="1:30">
      <c r="A61" s="16">
        <v>464</v>
      </c>
      <c r="B61" s="16" t="s">
        <v>148</v>
      </c>
      <c r="C61" s="21" t="s">
        <v>5</v>
      </c>
      <c r="D61" t="str">
        <f t="shared" si="0"/>
        <v>Raiane Bezerra santos</v>
      </c>
      <c r="E61" t="str">
        <f t="shared" si="1"/>
        <v>Raiane Bezerra santos</v>
      </c>
      <c r="F61" s="22">
        <v>460</v>
      </c>
      <c r="G61" s="22" t="s">
        <v>144</v>
      </c>
      <c r="H61" s="16" t="s">
        <v>65</v>
      </c>
      <c r="I61" s="16"/>
      <c r="J61" s="63"/>
      <c r="K61" t="str">
        <f t="shared" si="2"/>
        <v>Lucas Wytallo Santos</v>
      </c>
      <c r="N61" t="str">
        <f t="shared" si="3"/>
        <v>Claudeci do Vale Reis</v>
      </c>
      <c r="O61" t="str">
        <f t="shared" si="4"/>
        <v>Claudeci do Vale Reis</v>
      </c>
      <c r="P61" s="16">
        <v>457</v>
      </c>
      <c r="Q61" s="16"/>
      <c r="R61" s="16" t="s">
        <v>141</v>
      </c>
      <c r="S61" s="16" t="s">
        <v>136</v>
      </c>
      <c r="T61" s="16" t="s">
        <v>175</v>
      </c>
      <c r="U61" s="16">
        <v>4</v>
      </c>
      <c r="V61" s="16" t="s">
        <v>247</v>
      </c>
      <c r="W61" s="16"/>
      <c r="X61" s="41">
        <v>1417</v>
      </c>
      <c r="Y61" s="29">
        <v>45946</v>
      </c>
      <c r="Z61" s="29"/>
      <c r="AA61" s="29">
        <v>46055</v>
      </c>
      <c r="AD61" t="s">
        <v>248</v>
      </c>
    </row>
    <row r="62" spans="1:30">
      <c r="A62" s="21">
        <v>331</v>
      </c>
      <c r="B62" s="16" t="s">
        <v>78</v>
      </c>
      <c r="C62" s="21" t="s">
        <v>5</v>
      </c>
      <c r="D62" t="str">
        <f t="shared" si="0"/>
        <v>Railson Pinheiro Soaras</v>
      </c>
      <c r="E62" t="str">
        <f t="shared" si="1"/>
        <v>Railson Pinheiro Soaras</v>
      </c>
      <c r="F62" s="16">
        <v>461</v>
      </c>
      <c r="G62" s="16" t="s">
        <v>145</v>
      </c>
      <c r="H62" s="16" t="s">
        <v>147</v>
      </c>
      <c r="I62" s="16"/>
      <c r="J62" s="63"/>
      <c r="K62" t="str">
        <f t="shared" si="2"/>
        <v>Ana Carolina Soares</v>
      </c>
      <c r="N62" t="str">
        <f t="shared" si="3"/>
        <v>Brayan Jhefferson Silveira</v>
      </c>
      <c r="O62" t="str">
        <f t="shared" si="4"/>
        <v>Brayan Jhefferson Silveira</v>
      </c>
      <c r="P62" s="16">
        <v>459</v>
      </c>
      <c r="Q62" s="16"/>
      <c r="R62" s="16" t="s">
        <v>143</v>
      </c>
      <c r="S62" s="16" t="s">
        <v>111</v>
      </c>
      <c r="T62" s="16" t="s">
        <v>169</v>
      </c>
      <c r="U62" s="16">
        <v>6</v>
      </c>
      <c r="V62" s="16" t="s">
        <v>249</v>
      </c>
      <c r="W62" s="16"/>
      <c r="X62" s="41">
        <v>1417</v>
      </c>
      <c r="Y62" s="29">
        <v>45957</v>
      </c>
      <c r="Z62" s="29"/>
      <c r="AA62" s="29">
        <v>46055</v>
      </c>
    </row>
    <row r="63" spans="1:30">
      <c r="A63" s="21">
        <v>92</v>
      </c>
      <c r="B63" s="16" t="s">
        <v>39</v>
      </c>
      <c r="C63" s="21" t="s">
        <v>5</v>
      </c>
      <c r="D63" t="str">
        <f t="shared" si="0"/>
        <v>Raimundo Nonato Frazão Ferreira</v>
      </c>
      <c r="E63" t="str">
        <f t="shared" si="1"/>
        <v>Raimundo Nonato Frazão Ferreira</v>
      </c>
      <c r="F63" s="22">
        <v>464</v>
      </c>
      <c r="G63" s="22" t="s">
        <v>148</v>
      </c>
      <c r="H63" s="16" t="s">
        <v>102</v>
      </c>
      <c r="I63" s="16"/>
      <c r="J63" s="63"/>
      <c r="K63" t="str">
        <f t="shared" si="2"/>
        <v>Raiane Bezerra santos</v>
      </c>
      <c r="N63" t="str">
        <f t="shared" si="3"/>
        <v>Lucas Wytallo Santos</v>
      </c>
      <c r="O63" t="str">
        <f t="shared" si="4"/>
        <v>Lucas Wytallo Santos</v>
      </c>
      <c r="P63" s="16">
        <v>460</v>
      </c>
      <c r="Q63" s="16"/>
      <c r="R63" s="16" t="s">
        <v>144</v>
      </c>
      <c r="S63" s="16" t="s">
        <v>65</v>
      </c>
      <c r="T63" s="16" t="s">
        <v>169</v>
      </c>
      <c r="U63" s="16">
        <v>3</v>
      </c>
      <c r="V63" s="16" t="s">
        <v>250</v>
      </c>
      <c r="W63" s="16"/>
      <c r="X63" s="41">
        <v>1417</v>
      </c>
      <c r="Y63" s="29">
        <v>45954</v>
      </c>
      <c r="Z63" s="29"/>
      <c r="AA63" s="29">
        <v>46069</v>
      </c>
    </row>
    <row r="64" spans="1:30">
      <c r="A64" s="26">
        <v>451</v>
      </c>
      <c r="B64" s="27" t="s">
        <v>137</v>
      </c>
      <c r="C64" s="26" t="s">
        <v>5</v>
      </c>
      <c r="D64" t="str">
        <f t="shared" si="0"/>
        <v>Raycleison Bezerra Santos</v>
      </c>
      <c r="E64" t="str">
        <f t="shared" si="1"/>
        <v>Raycleison Bezerra Santos</v>
      </c>
      <c r="F64" s="16">
        <v>470</v>
      </c>
      <c r="G64" s="16" t="s">
        <v>155</v>
      </c>
      <c r="H64" s="16" t="s">
        <v>99</v>
      </c>
      <c r="I64" s="16"/>
      <c r="J64" s="63"/>
      <c r="K64" t="str">
        <f t="shared" si="2"/>
        <v>Silma Maria Mendes  Furtado</v>
      </c>
      <c r="N64" t="str">
        <f t="shared" si="3"/>
        <v>Ana Carolina Soares</v>
      </c>
      <c r="O64" t="str">
        <f t="shared" si="4"/>
        <v>Ana Carolina Soares</v>
      </c>
      <c r="P64" s="16">
        <v>461</v>
      </c>
      <c r="Q64" s="16"/>
      <c r="R64" s="16" t="s">
        <v>145</v>
      </c>
      <c r="S64" s="16" t="s">
        <v>147</v>
      </c>
      <c r="T64" s="16" t="s">
        <v>169</v>
      </c>
      <c r="U64" s="16">
        <v>2</v>
      </c>
      <c r="V64" s="16" t="s">
        <v>251</v>
      </c>
      <c r="W64" s="16"/>
      <c r="X64" s="41">
        <v>1417</v>
      </c>
      <c r="Y64" s="29">
        <v>45954</v>
      </c>
      <c r="Z64" s="29"/>
      <c r="AA64" s="29"/>
    </row>
    <row r="65" spans="1:30">
      <c r="A65" s="26">
        <v>183</v>
      </c>
      <c r="B65" s="27" t="s">
        <v>40</v>
      </c>
      <c r="C65" s="26" t="s">
        <v>5</v>
      </c>
      <c r="D65" t="str">
        <f t="shared" si="0"/>
        <v>Reginaldo Junior Gonçalves  Silva</v>
      </c>
      <c r="E65" t="str">
        <f t="shared" si="1"/>
        <v>Reginaldo Junior Gonçalves  Silva</v>
      </c>
      <c r="F65" s="16">
        <v>471</v>
      </c>
      <c r="G65" s="16" t="s">
        <v>114</v>
      </c>
      <c r="H65" s="16" t="s">
        <v>65</v>
      </c>
      <c r="I65" s="16"/>
      <c r="J65" s="63"/>
      <c r="K65" t="e">
        <f t="shared" si="2"/>
        <v>#N/A</v>
      </c>
      <c r="N65" t="str">
        <f t="shared" si="3"/>
        <v>Raiane Bezerra santos</v>
      </c>
      <c r="O65" t="str">
        <f t="shared" si="4"/>
        <v>Raiane Bezerra santos</v>
      </c>
      <c r="P65" s="16">
        <v>464</v>
      </c>
      <c r="Q65" s="16"/>
      <c r="R65" s="16" t="s">
        <v>148</v>
      </c>
      <c r="S65" s="16" t="s">
        <v>102</v>
      </c>
      <c r="T65" s="16" t="s">
        <v>175</v>
      </c>
      <c r="U65" s="16">
        <v>2</v>
      </c>
      <c r="V65" s="16" t="s">
        <v>252</v>
      </c>
      <c r="W65" s="16"/>
      <c r="X65" s="41">
        <v>1417</v>
      </c>
      <c r="Y65" s="29">
        <v>45963</v>
      </c>
      <c r="Z65" s="29"/>
      <c r="AA65" s="29">
        <v>46055</v>
      </c>
    </row>
    <row r="66" spans="1:30">
      <c r="A66" s="21">
        <v>447</v>
      </c>
      <c r="B66" s="22" t="s">
        <v>121</v>
      </c>
      <c r="C66" s="21" t="s">
        <v>5</v>
      </c>
      <c r="D66" t="str">
        <f t="shared" si="0"/>
        <v>Rodrigo Martins</v>
      </c>
      <c r="E66" t="str">
        <f t="shared" si="1"/>
        <v>Rodrigo Martins</v>
      </c>
      <c r="F66" s="16">
        <v>474</v>
      </c>
      <c r="G66" s="16" t="s">
        <v>159</v>
      </c>
      <c r="H66" s="16" t="s">
        <v>65</v>
      </c>
      <c r="I66" s="50"/>
      <c r="J66" s="63"/>
      <c r="K66" t="str">
        <f t="shared" si="2"/>
        <v>Geanderson Augusto dos Santos santos</v>
      </c>
      <c r="N66" t="str">
        <f t="shared" si="3"/>
        <v>Silma Maria Mendes  Furtado</v>
      </c>
      <c r="O66" t="str">
        <f t="shared" si="4"/>
        <v>Silma Maria Mendes  Furtado</v>
      </c>
      <c r="P66" s="16">
        <v>470</v>
      </c>
      <c r="Q66" s="16"/>
      <c r="R66" s="16" t="s">
        <v>155</v>
      </c>
      <c r="S66" s="16" t="s">
        <v>99</v>
      </c>
      <c r="T66" s="16" t="s">
        <v>175</v>
      </c>
      <c r="U66" s="16">
        <v>4</v>
      </c>
      <c r="V66" s="16" t="s">
        <v>253</v>
      </c>
      <c r="W66" s="16"/>
      <c r="X66" s="41">
        <v>1417</v>
      </c>
      <c r="Y66" s="29">
        <v>45992</v>
      </c>
      <c r="Z66" s="29">
        <v>46077</v>
      </c>
      <c r="AA66" s="29">
        <v>46042</v>
      </c>
      <c r="AD66" t="s">
        <v>248</v>
      </c>
    </row>
    <row r="67" spans="1:30">
      <c r="A67" s="26">
        <v>220</v>
      </c>
      <c r="B67" s="27" t="s">
        <v>41</v>
      </c>
      <c r="C67" s="26" t="s">
        <v>5</v>
      </c>
      <c r="D67" t="str">
        <f t="shared" si="0"/>
        <v>Salomão Lopes Torres</v>
      </c>
      <c r="E67" t="str">
        <f t="shared" si="1"/>
        <v>Salomão Lopes Torres</v>
      </c>
      <c r="F67" s="16">
        <v>476</v>
      </c>
      <c r="G67" s="16" t="s">
        <v>160</v>
      </c>
      <c r="H67" s="16" t="s">
        <v>55</v>
      </c>
      <c r="I67" s="16"/>
      <c r="J67" s="63"/>
      <c r="K67" t="str">
        <f t="shared" si="2"/>
        <v>Dayvisson George Sousa Ribeiro</v>
      </c>
      <c r="N67" t="str">
        <f t="shared" si="3"/>
        <v>João Bezerra Junior</v>
      </c>
      <c r="O67" t="e">
        <f t="shared" si="4"/>
        <v>#N/A</v>
      </c>
      <c r="P67" s="16">
        <v>472</v>
      </c>
      <c r="Q67" s="16"/>
      <c r="R67" s="16" t="s">
        <v>158</v>
      </c>
      <c r="S67" s="16" t="s">
        <v>164</v>
      </c>
      <c r="T67" s="16" t="s">
        <v>175</v>
      </c>
      <c r="U67" s="16">
        <v>20</v>
      </c>
      <c r="V67" s="16" t="s">
        <v>254</v>
      </c>
      <c r="W67" s="16"/>
      <c r="X67" s="41">
        <v>1417</v>
      </c>
      <c r="Y67" s="29">
        <v>46030</v>
      </c>
      <c r="Z67" s="29"/>
      <c r="AA67" s="29"/>
      <c r="AD67" t="s">
        <v>255</v>
      </c>
    </row>
    <row r="68" spans="1:30">
      <c r="A68" s="26">
        <v>427</v>
      </c>
      <c r="B68" s="27" t="s">
        <v>109</v>
      </c>
      <c r="C68" s="26" t="s">
        <v>5</v>
      </c>
      <c r="D68" t="str">
        <f t="shared" si="0"/>
        <v>Samuel Marnho  do Nascimento</v>
      </c>
      <c r="E68" t="str">
        <f t="shared" si="1"/>
        <v>Samuel Marnho  do Nascimento</v>
      </c>
      <c r="F68" s="16">
        <v>477</v>
      </c>
      <c r="G68" s="16" t="s">
        <v>161</v>
      </c>
      <c r="H68" s="16" t="s">
        <v>104</v>
      </c>
      <c r="I68" s="16"/>
      <c r="J68" s="63"/>
      <c r="K68" t="str">
        <f t="shared" si="2"/>
        <v>Ary Cesat Costa Duarte</v>
      </c>
      <c r="N68" t="str">
        <f t="shared" si="3"/>
        <v>Geanderson Augusto dos Santos santos</v>
      </c>
      <c r="O68" t="str">
        <f t="shared" si="4"/>
        <v>Geanderson Augusto dos Santos santos</v>
      </c>
      <c r="P68" s="16">
        <v>474</v>
      </c>
      <c r="Q68" s="16"/>
      <c r="R68" s="16" t="s">
        <v>159</v>
      </c>
      <c r="S68" s="16" t="s">
        <v>65</v>
      </c>
      <c r="T68" s="16" t="s">
        <v>169</v>
      </c>
      <c r="U68" s="16">
        <v>3</v>
      </c>
      <c r="V68" s="16" t="s">
        <v>256</v>
      </c>
      <c r="W68" s="16"/>
      <c r="X68" s="41">
        <v>1417</v>
      </c>
      <c r="Y68" s="29">
        <v>46031</v>
      </c>
      <c r="Z68" s="29"/>
      <c r="AA68" s="29"/>
    </row>
    <row r="69" spans="1:30">
      <c r="A69" s="26">
        <v>203</v>
      </c>
      <c r="B69" s="27" t="s">
        <v>42</v>
      </c>
      <c r="C69" s="26" t="s">
        <v>5</v>
      </c>
      <c r="D69" t="str">
        <f t="shared" ref="D69:D83" si="5">VLOOKUP(A69,$F$4:$I$100,2,FALSE)</f>
        <v>Sildivan Moreira de Carvalho</v>
      </c>
      <c r="E69" t="str">
        <f t="shared" ref="E69:E76" si="6">VLOOKUP(A69,$P$4:$R$80,3,FALSE)</f>
        <v>Sildivan Moreira de Carvalho</v>
      </c>
      <c r="F69" s="16">
        <v>478</v>
      </c>
      <c r="G69" s="16" t="s">
        <v>162</v>
      </c>
      <c r="H69" s="16" t="s">
        <v>65</v>
      </c>
      <c r="I69" s="16"/>
      <c r="J69" s="63"/>
      <c r="K69" t="str">
        <f t="shared" ref="K69:K86" si="7">VLOOKUP(F69,$A$4:$C$80,2,FALSE)</f>
        <v>Moises marinho do Nascimento</v>
      </c>
      <c r="N69" t="str">
        <f t="shared" ref="N69:N77" si="8">VLOOKUP(P69,$A$4:$D$80,2,FALSE)</f>
        <v>Dayvisson George Sousa Ribeiro</v>
      </c>
      <c r="O69" t="str">
        <f t="shared" ref="O69:O84" si="9">VLOOKUP(P69,$F$4:$H$100,2,FALSE)</f>
        <v>Dayvisson George Sousa Ribeiro</v>
      </c>
      <c r="P69" s="16">
        <v>476</v>
      </c>
      <c r="Q69" s="16"/>
      <c r="R69" s="16" t="s">
        <v>160</v>
      </c>
      <c r="S69" s="16" t="s">
        <v>55</v>
      </c>
      <c r="T69" s="16" t="s">
        <v>175</v>
      </c>
      <c r="U69" s="16">
        <v>2</v>
      </c>
      <c r="V69" s="16" t="s">
        <v>257</v>
      </c>
      <c r="W69" s="16"/>
      <c r="X69" s="41">
        <v>1417</v>
      </c>
      <c r="Y69" s="29">
        <v>46048</v>
      </c>
      <c r="Z69" s="29">
        <v>46076</v>
      </c>
      <c r="AA69" s="29"/>
    </row>
    <row r="70" spans="1:30">
      <c r="A70" s="16">
        <v>470</v>
      </c>
      <c r="B70" s="16" t="s">
        <v>155</v>
      </c>
      <c r="C70" s="21" t="s">
        <v>5</v>
      </c>
      <c r="D70" t="str">
        <f t="shared" si="5"/>
        <v>Silma Maria Mendes  Furtado</v>
      </c>
      <c r="E70" t="str">
        <f t="shared" si="6"/>
        <v>Silma Maria Mendes  Furtado</v>
      </c>
      <c r="F70" s="16">
        <v>479</v>
      </c>
      <c r="G70" s="16" t="s">
        <v>92</v>
      </c>
      <c r="H70" s="16" t="s">
        <v>93</v>
      </c>
      <c r="I70" s="16"/>
      <c r="J70" s="63"/>
      <c r="K70" t="str">
        <f t="shared" si="7"/>
        <v>Carlos Edmar Silva santos</v>
      </c>
      <c r="N70" t="str">
        <f t="shared" si="8"/>
        <v>Ary Cesat Costa Duarte</v>
      </c>
      <c r="O70" t="str">
        <f t="shared" si="9"/>
        <v>Ary Cesat Costa Duarte</v>
      </c>
      <c r="P70" s="16">
        <v>477</v>
      </c>
      <c r="Q70" s="16"/>
      <c r="R70" s="16" t="s">
        <v>161</v>
      </c>
      <c r="S70" s="16" t="s">
        <v>104</v>
      </c>
      <c r="T70" s="16" t="s">
        <v>175</v>
      </c>
      <c r="U70" s="16">
        <v>7</v>
      </c>
      <c r="V70" s="16" t="s">
        <v>258</v>
      </c>
      <c r="W70" s="16"/>
      <c r="X70" s="41">
        <v>1417</v>
      </c>
      <c r="Y70" s="29">
        <v>46047</v>
      </c>
      <c r="Z70" s="29"/>
      <c r="AA70" s="29"/>
    </row>
    <row r="71" spans="1:30">
      <c r="A71" s="16">
        <v>356</v>
      </c>
      <c r="B71" s="16" t="s">
        <v>82</v>
      </c>
      <c r="C71" s="21" t="s">
        <v>5</v>
      </c>
      <c r="D71" t="str">
        <f t="shared" si="5"/>
        <v>Tiago dos Santos Torres</v>
      </c>
      <c r="E71" t="str">
        <f t="shared" si="6"/>
        <v>Tiago dos Santos Torres</v>
      </c>
      <c r="F71" s="22">
        <v>480</v>
      </c>
      <c r="G71" s="22" t="s">
        <v>163</v>
      </c>
      <c r="H71" s="16" t="s">
        <v>55</v>
      </c>
      <c r="I71" s="16"/>
      <c r="J71" s="63"/>
      <c r="K71" t="str">
        <f t="shared" si="7"/>
        <v>Jessica Andreia Moraes da Costa</v>
      </c>
      <c r="N71" t="str">
        <f t="shared" si="8"/>
        <v>Moises marinho do Nascimento</v>
      </c>
      <c r="O71" t="str">
        <f t="shared" si="9"/>
        <v>Moises marinho do Nascimento</v>
      </c>
      <c r="P71" s="16">
        <v>478</v>
      </c>
      <c r="Q71" s="16"/>
      <c r="R71" s="16" t="s">
        <v>162</v>
      </c>
      <c r="S71" s="16" t="s">
        <v>65</v>
      </c>
      <c r="T71" s="16" t="s">
        <v>169</v>
      </c>
      <c r="U71" s="16">
        <v>3</v>
      </c>
      <c r="V71" s="16" t="s">
        <v>259</v>
      </c>
      <c r="W71" s="16"/>
      <c r="X71" s="41">
        <v>1417</v>
      </c>
      <c r="Y71" s="29">
        <v>46050</v>
      </c>
      <c r="Z71" s="29"/>
      <c r="AA71" s="29"/>
    </row>
    <row r="72" spans="1:30">
      <c r="A72" s="16">
        <v>439</v>
      </c>
      <c r="B72" s="16" t="s">
        <v>116</v>
      </c>
      <c r="C72" s="21" t="s">
        <v>5</v>
      </c>
      <c r="D72" t="str">
        <f t="shared" si="5"/>
        <v>Tiago Silva Frazao</v>
      </c>
      <c r="E72" t="str">
        <f t="shared" si="6"/>
        <v>Tiago Silva Frazao</v>
      </c>
      <c r="F72" s="16">
        <v>481</v>
      </c>
      <c r="G72" s="16" t="s">
        <v>165</v>
      </c>
      <c r="H72" s="16" t="s">
        <v>55</v>
      </c>
      <c r="I72" s="50"/>
      <c r="J72" s="63"/>
      <c r="K72" t="str">
        <f t="shared" si="7"/>
        <v>Dannyel de Carvalho Ribeiro</v>
      </c>
      <c r="N72" t="str">
        <f t="shared" si="8"/>
        <v>Carlos Edmar Silva santos</v>
      </c>
      <c r="O72" t="str">
        <f t="shared" si="9"/>
        <v>Carlos Edmar Silva santos</v>
      </c>
      <c r="P72" s="16">
        <v>479</v>
      </c>
      <c r="Q72" s="16"/>
      <c r="R72" s="16" t="s">
        <v>92</v>
      </c>
      <c r="S72" s="16" t="s">
        <v>93</v>
      </c>
      <c r="T72" s="16" t="s">
        <v>169</v>
      </c>
      <c r="U72" s="16">
        <v>7</v>
      </c>
      <c r="V72" s="16" t="s">
        <v>260</v>
      </c>
      <c r="W72" s="16"/>
      <c r="X72" s="41">
        <v>1417</v>
      </c>
      <c r="Y72" s="29">
        <v>46050</v>
      </c>
      <c r="Z72" s="29"/>
      <c r="AA72" s="29"/>
    </row>
    <row r="73" spans="1:30">
      <c r="A73" s="26">
        <v>452</v>
      </c>
      <c r="B73" s="27" t="s">
        <v>138</v>
      </c>
      <c r="C73" s="26" t="s">
        <v>5</v>
      </c>
      <c r="D73" t="str">
        <f t="shared" si="5"/>
        <v>Vanilson Pintos da Silva</v>
      </c>
      <c r="E73" t="str">
        <f t="shared" si="6"/>
        <v>Vanilson Pintos da Silva</v>
      </c>
      <c r="F73" s="16">
        <v>482</v>
      </c>
      <c r="G73" s="16" t="s">
        <v>166</v>
      </c>
      <c r="H73" s="16" t="s">
        <v>55</v>
      </c>
      <c r="I73" s="16"/>
      <c r="J73" s="63"/>
      <c r="K73" t="str">
        <f t="shared" si="7"/>
        <v>Flavia Luciana Sousa Alves</v>
      </c>
      <c r="N73" t="str">
        <f t="shared" si="8"/>
        <v>Jessica Andreia Moraes da Costa</v>
      </c>
      <c r="O73" t="str">
        <f t="shared" si="9"/>
        <v>Jessica Andreia Moraes da Costa</v>
      </c>
      <c r="P73" s="16">
        <v>480</v>
      </c>
      <c r="Q73" s="16"/>
      <c r="R73" s="16" t="s">
        <v>163</v>
      </c>
      <c r="S73" s="16" t="s">
        <v>55</v>
      </c>
      <c r="T73" s="16" t="s">
        <v>175</v>
      </c>
      <c r="U73" s="16">
        <v>2</v>
      </c>
      <c r="V73" s="16" t="s">
        <v>261</v>
      </c>
      <c r="W73" s="16"/>
      <c r="X73" s="41">
        <v>1417</v>
      </c>
      <c r="Y73" s="29">
        <v>46054</v>
      </c>
      <c r="Z73" s="29">
        <v>46060</v>
      </c>
      <c r="AA73" s="29"/>
    </row>
    <row r="74" spans="1:30">
      <c r="A74" s="26">
        <v>402</v>
      </c>
      <c r="B74" s="27" t="s">
        <v>103</v>
      </c>
      <c r="C74" s="26" t="s">
        <v>5</v>
      </c>
      <c r="D74" t="str">
        <f t="shared" si="5"/>
        <v>Wellington Rodrigues Cruz</v>
      </c>
      <c r="E74" t="str">
        <f t="shared" si="6"/>
        <v>Wellington Rodrigues Cruz</v>
      </c>
      <c r="F74" s="22">
        <v>483</v>
      </c>
      <c r="G74" s="22" t="s">
        <v>167</v>
      </c>
      <c r="H74" s="16" t="s">
        <v>104</v>
      </c>
      <c r="I74" s="16"/>
      <c r="J74" s="63"/>
      <c r="K74" t="str">
        <f t="shared" si="7"/>
        <v>Ronald Oliveira Pires</v>
      </c>
      <c r="N74" t="str">
        <f t="shared" si="8"/>
        <v>Dannyel de Carvalho Ribeiro</v>
      </c>
      <c r="O74" t="str">
        <f t="shared" si="9"/>
        <v>Dannyel de Carvalho Ribeiro</v>
      </c>
      <c r="P74" s="16">
        <v>481</v>
      </c>
      <c r="Q74" s="16"/>
      <c r="R74" s="16" t="s">
        <v>165</v>
      </c>
      <c r="S74" s="16" t="s">
        <v>55</v>
      </c>
      <c r="T74" s="16" t="s">
        <v>175</v>
      </c>
      <c r="U74" s="16">
        <v>2</v>
      </c>
      <c r="V74" s="16" t="s">
        <v>262</v>
      </c>
      <c r="W74" s="16"/>
      <c r="X74" s="41">
        <v>1417</v>
      </c>
      <c r="Y74" s="29">
        <v>46061</v>
      </c>
      <c r="Z74" s="29"/>
      <c r="AA74" s="29"/>
    </row>
    <row r="75" spans="1:30">
      <c r="A75" s="26">
        <v>441</v>
      </c>
      <c r="B75" s="27" t="s">
        <v>43</v>
      </c>
      <c r="C75" s="26" t="s">
        <v>5</v>
      </c>
      <c r="D75" t="str">
        <f t="shared" si="5"/>
        <v>Wilderson Goncalves de Sousa</v>
      </c>
      <c r="E75" t="str">
        <f t="shared" si="6"/>
        <v>Wilderson Goncalves de Sousa</v>
      </c>
      <c r="F75" s="22">
        <v>484</v>
      </c>
      <c r="G75" s="22" t="s">
        <v>168</v>
      </c>
      <c r="H75" s="16" t="s">
        <v>55</v>
      </c>
      <c r="I75" s="16"/>
      <c r="J75" s="63"/>
      <c r="K75" t="str">
        <f t="shared" si="7"/>
        <v>Jeferson do Nascimento Silva</v>
      </c>
      <c r="N75" t="str">
        <f t="shared" si="8"/>
        <v>Flavia Luciana Sousa Alves</v>
      </c>
      <c r="O75" t="str">
        <f t="shared" si="9"/>
        <v>Flavia Luciana Sousa Alves</v>
      </c>
      <c r="P75" s="16">
        <v>482</v>
      </c>
      <c r="Q75" s="16"/>
      <c r="R75" s="16" t="s">
        <v>166</v>
      </c>
      <c r="S75" s="16" t="s">
        <v>55</v>
      </c>
      <c r="T75" s="16" t="s">
        <v>175</v>
      </c>
      <c r="U75" s="16">
        <v>2</v>
      </c>
      <c r="V75" s="16" t="s">
        <v>263</v>
      </c>
      <c r="W75" s="16"/>
      <c r="X75" s="41">
        <v>1417</v>
      </c>
      <c r="Y75" s="29">
        <v>46069</v>
      </c>
      <c r="Z75" s="29"/>
      <c r="AA75" s="29"/>
    </row>
    <row r="76" spans="1:30">
      <c r="A76" s="16">
        <v>481</v>
      </c>
      <c r="B76" s="16" t="s">
        <v>165</v>
      </c>
      <c r="C76" s="21" t="s">
        <v>27</v>
      </c>
      <c r="D76" t="str">
        <f t="shared" si="5"/>
        <v>Dannyel de Carvalho Ribeiro</v>
      </c>
      <c r="E76" t="str">
        <f t="shared" si="6"/>
        <v>Dannyel de Carvalho Ribeiro</v>
      </c>
      <c r="F76" s="16"/>
      <c r="G76" s="16" t="s">
        <v>130</v>
      </c>
      <c r="H76" s="16"/>
      <c r="I76" s="16"/>
      <c r="J76" s="63"/>
      <c r="K76" t="e">
        <f t="shared" si="7"/>
        <v>#N/A</v>
      </c>
      <c r="N76" t="str">
        <f t="shared" si="8"/>
        <v>Ronald Oliveira Pires</v>
      </c>
      <c r="O76" t="str">
        <f t="shared" si="9"/>
        <v>Ronald Oliveira Pires</v>
      </c>
      <c r="P76" s="16">
        <v>483</v>
      </c>
      <c r="Q76" s="16"/>
      <c r="R76" s="16" t="s">
        <v>167</v>
      </c>
      <c r="S76" s="16" t="s">
        <v>104</v>
      </c>
      <c r="T76" s="16" t="s">
        <v>175</v>
      </c>
      <c r="U76" s="16">
        <v>7</v>
      </c>
      <c r="V76" s="16" t="s">
        <v>264</v>
      </c>
      <c r="W76" s="16"/>
      <c r="X76" s="41">
        <v>1417</v>
      </c>
      <c r="Y76" s="29">
        <v>46066</v>
      </c>
      <c r="Z76" s="29"/>
      <c r="AA76" s="29"/>
    </row>
    <row r="77" spans="1:30">
      <c r="A77" s="26">
        <v>482</v>
      </c>
      <c r="B77" s="27" t="s">
        <v>166</v>
      </c>
      <c r="C77" s="26" t="s">
        <v>27</v>
      </c>
      <c r="D77" t="str">
        <f t="shared" si="5"/>
        <v>Flavia Luciana Sousa Alves</v>
      </c>
      <c r="E77" t="str">
        <f t="shared" ref="E77:E83" si="10">VLOOKUP(A77,$P$4:$R$80,3,FALSE)</f>
        <v>Flavia Luciana Sousa Alves</v>
      </c>
      <c r="F77" s="22"/>
      <c r="G77" s="22" t="s">
        <v>123</v>
      </c>
      <c r="H77" s="16" t="s">
        <v>123</v>
      </c>
      <c r="I77" s="16"/>
      <c r="J77" s="63"/>
      <c r="K77" t="e">
        <f t="shared" si="7"/>
        <v>#N/A</v>
      </c>
      <c r="N77" t="str">
        <f t="shared" si="8"/>
        <v>Jeferson do Nascimento Silva</v>
      </c>
      <c r="O77" t="str">
        <f t="shared" si="9"/>
        <v>Jeferson do Nascimento Silva</v>
      </c>
      <c r="P77" s="16">
        <v>484</v>
      </c>
      <c r="Q77" s="16"/>
      <c r="R77" s="16" t="s">
        <v>168</v>
      </c>
      <c r="S77" s="16" t="s">
        <v>55</v>
      </c>
      <c r="T77" s="16" t="s">
        <v>175</v>
      </c>
      <c r="U77" s="16">
        <v>2</v>
      </c>
      <c r="V77" s="16" t="s">
        <v>265</v>
      </c>
      <c r="W77" s="16"/>
      <c r="X77" s="41">
        <v>1417</v>
      </c>
      <c r="Y77" s="29">
        <v>46079</v>
      </c>
      <c r="Z77" s="29"/>
      <c r="AA77" s="29"/>
    </row>
    <row r="78" spans="1:30">
      <c r="A78" s="16">
        <v>483</v>
      </c>
      <c r="B78" s="16" t="s">
        <v>167</v>
      </c>
      <c r="C78" s="21" t="s">
        <v>27</v>
      </c>
      <c r="D78" t="str">
        <f t="shared" si="5"/>
        <v>Ronald Oliveira Pires</v>
      </c>
      <c r="E78" t="str">
        <f t="shared" si="10"/>
        <v>Ronald Oliveira Pires</v>
      </c>
      <c r="F78" s="16"/>
      <c r="G78" s="16" t="s">
        <v>123</v>
      </c>
      <c r="H78" s="16" t="s">
        <v>123</v>
      </c>
      <c r="I78" s="16"/>
      <c r="J78" s="63"/>
      <c r="K78" t="e">
        <f t="shared" si="7"/>
        <v>#N/A</v>
      </c>
      <c r="N78" t="e">
        <f t="shared" ref="N78:N84" si="11">VLOOKUP(P78,$A$4:$D$80,2,FALSE)</f>
        <v>#N/A</v>
      </c>
      <c r="O78" t="e">
        <f t="shared" si="9"/>
        <v>#N/A</v>
      </c>
      <c r="P78" s="16"/>
      <c r="Q78" s="16"/>
      <c r="R78" s="16"/>
      <c r="S78" s="16"/>
      <c r="T78" s="16"/>
      <c r="U78" s="16"/>
      <c r="V78" s="16"/>
      <c r="W78" s="16"/>
      <c r="X78" s="41"/>
      <c r="Y78" s="29"/>
      <c r="Z78" s="29"/>
      <c r="AA78" s="29"/>
    </row>
    <row r="79" spans="1:30">
      <c r="A79" s="16">
        <v>484</v>
      </c>
      <c r="B79" s="16" t="s">
        <v>168</v>
      </c>
      <c r="C79" s="21" t="s">
        <v>27</v>
      </c>
      <c r="D79" t="str">
        <f t="shared" si="5"/>
        <v>Jeferson do Nascimento Silva</v>
      </c>
      <c r="E79" t="str">
        <f t="shared" si="10"/>
        <v>Jeferson do Nascimento Silva</v>
      </c>
      <c r="F79" s="16"/>
      <c r="G79" s="16" t="s">
        <v>131</v>
      </c>
      <c r="H79" s="16" t="s">
        <v>123</v>
      </c>
      <c r="I79" s="16"/>
      <c r="J79" s="65"/>
      <c r="K79" t="e">
        <f t="shared" si="7"/>
        <v>#N/A</v>
      </c>
      <c r="N79" t="e">
        <f t="shared" si="11"/>
        <v>#N/A</v>
      </c>
      <c r="O79" t="e">
        <f t="shared" si="9"/>
        <v>#N/A</v>
      </c>
      <c r="P79" s="16"/>
      <c r="Q79" s="16"/>
      <c r="R79" s="16"/>
      <c r="S79" s="16"/>
      <c r="T79" s="16"/>
      <c r="U79" s="16"/>
      <c r="V79" s="16"/>
      <c r="W79" s="16"/>
      <c r="X79" s="41"/>
      <c r="Y79" s="29"/>
      <c r="Z79" s="29"/>
      <c r="AA79" s="29"/>
    </row>
    <row r="80" spans="1:30">
      <c r="A80" s="16"/>
      <c r="B80" s="16"/>
      <c r="C80" s="21"/>
      <c r="D80" t="e">
        <f t="shared" si="5"/>
        <v>#N/A</v>
      </c>
      <c r="E80" t="e">
        <f t="shared" si="10"/>
        <v>#N/A</v>
      </c>
      <c r="F80" s="16"/>
      <c r="G80" s="16" t="s">
        <v>123</v>
      </c>
      <c r="H80" s="16" t="s">
        <v>123</v>
      </c>
      <c r="I80" s="16"/>
      <c r="J80" s="63"/>
      <c r="K80" t="e">
        <f t="shared" si="7"/>
        <v>#N/A</v>
      </c>
      <c r="N80" t="e">
        <f t="shared" si="11"/>
        <v>#N/A</v>
      </c>
      <c r="O80" t="e">
        <f t="shared" si="9"/>
        <v>#N/A</v>
      </c>
      <c r="P80" s="16"/>
      <c r="Q80" s="16"/>
      <c r="R80" s="16"/>
      <c r="S80" s="16"/>
      <c r="T80" s="16"/>
      <c r="U80" s="16"/>
      <c r="V80" s="16"/>
      <c r="W80" s="16"/>
      <c r="X80" s="41"/>
      <c r="Y80" s="29"/>
      <c r="Z80" s="29"/>
      <c r="AA80" s="29"/>
    </row>
    <row r="81" spans="1:27">
      <c r="A81" s="16"/>
      <c r="B81" s="16"/>
      <c r="C81" s="21"/>
      <c r="D81" t="e">
        <f t="shared" si="5"/>
        <v>#N/A</v>
      </c>
      <c r="E81" t="e">
        <f t="shared" si="10"/>
        <v>#N/A</v>
      </c>
      <c r="F81" s="22"/>
      <c r="G81" s="22" t="s">
        <v>123</v>
      </c>
      <c r="H81" s="16" t="s">
        <v>123</v>
      </c>
      <c r="I81" s="50"/>
      <c r="J81" s="63"/>
      <c r="K81" t="e">
        <f t="shared" si="7"/>
        <v>#N/A</v>
      </c>
      <c r="N81" t="e">
        <f t="shared" si="11"/>
        <v>#N/A</v>
      </c>
      <c r="O81" t="e">
        <f t="shared" si="9"/>
        <v>#N/A</v>
      </c>
      <c r="P81" s="16"/>
      <c r="Q81" s="16"/>
      <c r="R81" s="16"/>
      <c r="S81" s="16"/>
      <c r="T81" s="16"/>
      <c r="U81" s="16"/>
      <c r="V81" s="16"/>
      <c r="W81" s="16"/>
      <c r="X81" s="41"/>
      <c r="Y81" s="29"/>
      <c r="Z81" s="29"/>
      <c r="AA81" s="29"/>
    </row>
    <row r="82" spans="1:27">
      <c r="A82" s="16"/>
      <c r="B82" s="16"/>
      <c r="C82" s="21"/>
      <c r="D82" t="e">
        <f t="shared" si="5"/>
        <v>#N/A</v>
      </c>
      <c r="E82" t="e">
        <f t="shared" si="10"/>
        <v>#N/A</v>
      </c>
      <c r="F82" s="16"/>
      <c r="G82" s="16" t="s">
        <v>132</v>
      </c>
      <c r="H82" s="16" t="s">
        <v>123</v>
      </c>
      <c r="I82" s="50"/>
      <c r="J82" s="63"/>
      <c r="K82" t="e">
        <f t="shared" si="7"/>
        <v>#N/A</v>
      </c>
      <c r="N82" t="e">
        <f t="shared" si="11"/>
        <v>#N/A</v>
      </c>
      <c r="O82" t="e">
        <f t="shared" si="9"/>
        <v>#N/A</v>
      </c>
      <c r="P82" s="16"/>
      <c r="Q82" s="16"/>
      <c r="R82" s="16"/>
      <c r="S82" s="16"/>
      <c r="T82" s="16"/>
      <c r="U82" s="16"/>
      <c r="V82" s="16"/>
      <c r="W82" s="16"/>
      <c r="X82" s="41"/>
      <c r="Y82" s="29"/>
      <c r="Z82" s="29"/>
      <c r="AA82" s="29"/>
    </row>
    <row r="83" spans="1:27">
      <c r="A83" s="16"/>
      <c r="B83" s="16"/>
      <c r="C83" s="21"/>
      <c r="D83" t="e">
        <f t="shared" si="5"/>
        <v>#N/A</v>
      </c>
      <c r="E83" t="e">
        <f t="shared" si="10"/>
        <v>#N/A</v>
      </c>
      <c r="F83" s="16"/>
      <c r="G83" s="16" t="s">
        <v>123</v>
      </c>
      <c r="H83" s="16" t="s">
        <v>123</v>
      </c>
      <c r="I83" s="16"/>
      <c r="J83" s="63"/>
      <c r="K83" t="e">
        <f t="shared" si="7"/>
        <v>#N/A</v>
      </c>
      <c r="N83" t="e">
        <f t="shared" si="11"/>
        <v>#N/A</v>
      </c>
      <c r="O83" t="e">
        <f t="shared" si="9"/>
        <v>#N/A</v>
      </c>
      <c r="P83" s="16"/>
      <c r="Q83" s="16"/>
      <c r="R83" s="16"/>
      <c r="S83" s="16"/>
      <c r="T83" s="16"/>
      <c r="U83" s="16"/>
      <c r="V83" s="16"/>
      <c r="W83" s="16"/>
      <c r="Y83" s="29"/>
      <c r="Z83" s="29"/>
      <c r="AA83" s="29"/>
    </row>
    <row r="84" spans="1:27">
      <c r="F84" s="16"/>
      <c r="G84" s="16" t="s">
        <v>125</v>
      </c>
      <c r="H84" s="16" t="s">
        <v>123</v>
      </c>
      <c r="I84" s="16"/>
      <c r="J84" s="63"/>
      <c r="K84" t="e">
        <f t="shared" si="7"/>
        <v>#N/A</v>
      </c>
      <c r="N84" t="e">
        <f t="shared" si="11"/>
        <v>#N/A</v>
      </c>
      <c r="O84" t="e">
        <f t="shared" si="9"/>
        <v>#N/A</v>
      </c>
    </row>
    <row r="85" spans="1:27">
      <c r="F85" s="16"/>
      <c r="G85" s="16" t="s">
        <v>123</v>
      </c>
      <c r="H85" s="16" t="s">
        <v>123</v>
      </c>
      <c r="I85" s="16"/>
      <c r="J85" s="63"/>
      <c r="K85" t="e">
        <f t="shared" si="7"/>
        <v>#N/A</v>
      </c>
    </row>
    <row r="86" spans="1:27">
      <c r="F86" s="16"/>
      <c r="G86" s="16" t="s">
        <v>123</v>
      </c>
      <c r="H86" s="16" t="s">
        <v>123</v>
      </c>
      <c r="I86" s="50"/>
      <c r="J86" s="63"/>
      <c r="K86" t="e">
        <f t="shared" si="7"/>
        <v>#N/A</v>
      </c>
    </row>
    <row r="87" spans="1:27">
      <c r="F87" s="22"/>
      <c r="G87" s="22" t="s">
        <v>126</v>
      </c>
      <c r="H87" s="16" t="s">
        <v>123</v>
      </c>
      <c r="I87" s="16"/>
      <c r="J87" s="63"/>
    </row>
    <row r="88" spans="1:27">
      <c r="F88" s="16"/>
      <c r="G88" s="16" t="s">
        <v>127</v>
      </c>
      <c r="H88" s="16" t="s">
        <v>123</v>
      </c>
      <c r="I88" s="16"/>
      <c r="J88" s="63"/>
    </row>
    <row r="89" spans="1:27">
      <c r="F89" s="16"/>
      <c r="G89" s="16" t="s">
        <v>128</v>
      </c>
      <c r="H89" s="16" t="s">
        <v>123</v>
      </c>
      <c r="I89" s="16"/>
      <c r="J89" s="63"/>
    </row>
    <row r="90" spans="1:27">
      <c r="F90" s="16"/>
      <c r="G90" s="16"/>
      <c r="H90" s="16"/>
      <c r="I90" s="16"/>
      <c r="J90" s="63"/>
    </row>
    <row r="91" spans="1:27">
      <c r="F91" s="16"/>
      <c r="G91" s="16"/>
      <c r="H91" s="16"/>
      <c r="I91" s="16"/>
      <c r="J91" s="63"/>
    </row>
    <row r="92" spans="1:27">
      <c r="F92" s="16"/>
      <c r="G92" s="16"/>
      <c r="H92" s="16"/>
      <c r="I92" s="16"/>
      <c r="J92" s="63"/>
    </row>
    <row r="93" spans="1:27">
      <c r="F93" s="16"/>
      <c r="G93" s="16"/>
      <c r="H93" s="16"/>
      <c r="I93" s="16"/>
      <c r="J93" s="63"/>
    </row>
    <row r="94" spans="1:27">
      <c r="F94" s="16"/>
      <c r="G94" s="16"/>
      <c r="H94" s="16"/>
      <c r="I94" s="16"/>
      <c r="J94" s="63"/>
    </row>
    <row r="95" spans="1:27">
      <c r="F95" s="16"/>
      <c r="G95" s="16"/>
      <c r="H95" s="16"/>
      <c r="I95" s="16"/>
      <c r="J95" s="63"/>
    </row>
    <row r="96" spans="1:27">
      <c r="F96" s="16"/>
      <c r="G96" s="16"/>
      <c r="H96" s="16"/>
      <c r="I96" s="16"/>
      <c r="J96" s="63"/>
    </row>
    <row r="97" spans="6:10">
      <c r="F97" s="16"/>
      <c r="G97" s="16"/>
      <c r="H97" s="16"/>
      <c r="I97" s="16"/>
      <c r="J97" s="63"/>
    </row>
    <row r="98" spans="6:10">
      <c r="F98" s="16"/>
      <c r="G98" s="16"/>
      <c r="H98" s="16"/>
      <c r="I98" s="16"/>
      <c r="J98" s="16"/>
    </row>
    <row r="99" spans="6:10">
      <c r="F99" s="16"/>
      <c r="G99" s="16"/>
      <c r="H99" s="16"/>
      <c r="I99" s="16"/>
      <c r="J99" s="16"/>
    </row>
    <row r="100" spans="6:10">
      <c r="F100" s="16"/>
      <c r="G100" s="16"/>
      <c r="H100" s="16"/>
      <c r="I100" s="16"/>
      <c r="J100" s="16"/>
    </row>
    <row r="101" spans="6:10">
      <c r="F101" s="16"/>
      <c r="G101" s="16"/>
      <c r="H101" s="16"/>
      <c r="I101" s="16"/>
      <c r="J101" s="16"/>
    </row>
    <row r="102" spans="6:10">
      <c r="F102" s="16"/>
      <c r="G102" s="16"/>
      <c r="H102" s="16"/>
      <c r="I102" s="16"/>
      <c r="J102" s="16"/>
    </row>
    <row r="103" spans="6:10">
      <c r="F103" s="16"/>
      <c r="G103" s="16"/>
      <c r="H103" s="16"/>
      <c r="I103" s="16"/>
      <c r="J103" s="16"/>
    </row>
    <row r="104" spans="6:10">
      <c r="F104" s="16"/>
      <c r="G104" s="16"/>
      <c r="H104" s="16"/>
      <c r="I104" s="16"/>
      <c r="J104" s="16"/>
    </row>
  </sheetData>
  <autoFilter ref="P3:AA77"/>
  <sortState ref="F4:H89">
    <sortCondition ref="F4"/>
  </sortState>
  <dataValidations count="2">
    <dataValidation type="list" allowBlank="1" showInputMessage="1" showErrorMessage="1" sqref="T4:U48">
      <formula1>"cozinha,salao,admin,compra"</formula1>
    </dataValidation>
    <dataValidation type="list" allowBlank="1" showInputMessage="1" showErrorMessage="1" sqref="S4:S48">
      <formula1>$Y$6:$Y$103</formula1>
    </dataValidation>
  </dataValidation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>
  <dimension ref="E2:O81"/>
  <sheetViews>
    <sheetView workbookViewId="0">
      <selection activeCell="M2" sqref="M2"/>
    </sheetView>
  </sheetViews>
  <sheetFormatPr defaultRowHeight="15"/>
  <cols>
    <col min="5" max="5" width="7.7109375" customWidth="1"/>
    <col min="6" max="6" width="33.28515625" customWidth="1"/>
    <col min="7" max="7" width="15.140625" customWidth="1"/>
    <col min="8" max="8" width="10.42578125" customWidth="1"/>
    <col min="9" max="9" width="9.85546875" customWidth="1"/>
    <col min="12" max="12" width="13.85546875" customWidth="1"/>
    <col min="13" max="13" width="16.140625" customWidth="1"/>
    <col min="14" max="14" width="14.5703125" customWidth="1"/>
    <col min="15" max="15" width="13.7109375" customWidth="1"/>
  </cols>
  <sheetData>
    <row r="2" spans="5:15">
      <c r="M2" s="68">
        <f>M3+L3</f>
        <v>1131.3499999999999</v>
      </c>
    </row>
    <row r="3" spans="5:15">
      <c r="E3" s="57" t="s">
        <v>123</v>
      </c>
      <c r="F3" s="58" t="s">
        <v>124</v>
      </c>
      <c r="G3" s="57" t="s">
        <v>22</v>
      </c>
      <c r="H3" s="60" t="s">
        <v>152</v>
      </c>
      <c r="I3" s="59" t="s">
        <v>76</v>
      </c>
      <c r="L3" s="23">
        <v>611.26666666666665</v>
      </c>
      <c r="M3" s="23">
        <v>520.08333333333337</v>
      </c>
      <c r="N3" s="23">
        <v>254.66666666666666</v>
      </c>
      <c r="O3" s="23">
        <v>0</v>
      </c>
    </row>
    <row r="4" spans="5:15" ht="60">
      <c r="E4" s="57">
        <v>81</v>
      </c>
      <c r="F4" s="57" t="s">
        <v>28</v>
      </c>
      <c r="G4" s="57" t="s">
        <v>150</v>
      </c>
      <c r="H4" s="60">
        <v>18</v>
      </c>
      <c r="I4" s="59">
        <v>42660</v>
      </c>
      <c r="L4" s="30" t="s">
        <v>11</v>
      </c>
      <c r="M4" s="18" t="s">
        <v>12</v>
      </c>
      <c r="N4" s="18" t="s">
        <v>13</v>
      </c>
      <c r="O4" s="18" t="s">
        <v>14</v>
      </c>
    </row>
    <row r="5" spans="5:15">
      <c r="E5" s="57">
        <v>92</v>
      </c>
      <c r="F5" s="57" t="s">
        <v>39</v>
      </c>
      <c r="G5" s="57" t="s">
        <v>133</v>
      </c>
      <c r="H5" s="60">
        <v>16</v>
      </c>
      <c r="I5" s="59">
        <v>42762</v>
      </c>
    </row>
    <row r="6" spans="5:15">
      <c r="E6" s="57">
        <v>441</v>
      </c>
      <c r="F6" s="57" t="s">
        <v>43</v>
      </c>
      <c r="G6" s="57" t="s">
        <v>133</v>
      </c>
      <c r="H6" s="60">
        <v>16</v>
      </c>
      <c r="I6" s="59">
        <v>45847</v>
      </c>
    </row>
    <row r="7" spans="5:15">
      <c r="E7" s="57">
        <v>264</v>
      </c>
      <c r="F7" s="57" t="s">
        <v>60</v>
      </c>
      <c r="G7" s="57" t="s">
        <v>151</v>
      </c>
      <c r="H7" s="60">
        <v>14</v>
      </c>
      <c r="I7" s="59">
        <v>44980</v>
      </c>
    </row>
    <row r="8" spans="5:15">
      <c r="E8" s="57">
        <v>220</v>
      </c>
      <c r="F8" s="57" t="s">
        <v>41</v>
      </c>
      <c r="G8" s="57" t="s">
        <v>56</v>
      </c>
      <c r="H8" s="60">
        <v>11</v>
      </c>
      <c r="I8" s="59">
        <v>44490</v>
      </c>
    </row>
    <row r="9" spans="5:15">
      <c r="E9" s="57">
        <v>129</v>
      </c>
      <c r="F9" s="57" t="s">
        <v>32</v>
      </c>
      <c r="G9" s="57" t="s">
        <v>56</v>
      </c>
      <c r="H9" s="60">
        <v>11</v>
      </c>
      <c r="I9" s="59">
        <v>43074</v>
      </c>
    </row>
    <row r="10" spans="5:15">
      <c r="E10" s="57">
        <v>453</v>
      </c>
      <c r="F10" s="57" t="s">
        <v>139</v>
      </c>
      <c r="G10" s="57" t="s">
        <v>56</v>
      </c>
      <c r="H10" s="60">
        <v>11</v>
      </c>
      <c r="I10" s="59">
        <v>45908</v>
      </c>
    </row>
    <row r="11" spans="5:15">
      <c r="E11" s="57">
        <v>309</v>
      </c>
      <c r="F11" s="57" t="s">
        <v>61</v>
      </c>
      <c r="G11" s="57" t="s">
        <v>56</v>
      </c>
      <c r="H11" s="60">
        <v>11</v>
      </c>
      <c r="I11" s="59">
        <v>45265</v>
      </c>
    </row>
    <row r="12" spans="5:15">
      <c r="E12" s="57">
        <v>266</v>
      </c>
      <c r="F12" s="57" t="s">
        <v>59</v>
      </c>
      <c r="G12" s="57" t="s">
        <v>56</v>
      </c>
      <c r="H12" s="60">
        <v>11</v>
      </c>
      <c r="I12" s="59">
        <v>44977</v>
      </c>
    </row>
    <row r="13" spans="5:15">
      <c r="E13" s="57">
        <v>447</v>
      </c>
      <c r="F13" s="57" t="s">
        <v>121</v>
      </c>
      <c r="G13" s="57" t="s">
        <v>122</v>
      </c>
      <c r="H13" s="60">
        <v>9</v>
      </c>
      <c r="I13" s="59">
        <v>45876</v>
      </c>
    </row>
    <row r="14" spans="5:15">
      <c r="E14" s="57" t="s">
        <v>123</v>
      </c>
      <c r="F14" s="58" t="s">
        <v>125</v>
      </c>
      <c r="G14" s="57" t="s">
        <v>123</v>
      </c>
      <c r="H14" s="60" t="s">
        <v>123</v>
      </c>
      <c r="I14" s="59" t="s">
        <v>123</v>
      </c>
    </row>
    <row r="15" spans="5:15">
      <c r="E15" s="57">
        <v>194</v>
      </c>
      <c r="F15" s="57" t="s">
        <v>35</v>
      </c>
      <c r="G15" s="57" t="s">
        <v>117</v>
      </c>
      <c r="H15" s="60">
        <v>10</v>
      </c>
      <c r="I15" s="59">
        <v>44046</v>
      </c>
    </row>
    <row r="16" spans="5:15">
      <c r="E16" s="57">
        <v>356</v>
      </c>
      <c r="F16" s="57" t="s">
        <v>82</v>
      </c>
      <c r="G16" s="57" t="s">
        <v>113</v>
      </c>
      <c r="H16" s="60">
        <v>10</v>
      </c>
      <c r="I16" s="59">
        <v>45469</v>
      </c>
    </row>
    <row r="17" spans="5:9">
      <c r="E17" s="57">
        <v>451</v>
      </c>
      <c r="F17" s="57" t="s">
        <v>137</v>
      </c>
      <c r="G17" s="57" t="s">
        <v>97</v>
      </c>
      <c r="H17" s="60">
        <v>9</v>
      </c>
      <c r="I17" s="59">
        <v>45913</v>
      </c>
    </row>
    <row r="18" spans="5:9">
      <c r="E18" s="57">
        <v>298</v>
      </c>
      <c r="F18" s="57" t="s">
        <v>66</v>
      </c>
      <c r="G18" s="57" t="s">
        <v>122</v>
      </c>
      <c r="H18" s="60">
        <v>9</v>
      </c>
      <c r="I18" s="59">
        <v>45204</v>
      </c>
    </row>
    <row r="19" spans="5:9">
      <c r="E19" s="57">
        <v>183</v>
      </c>
      <c r="F19" s="57" t="s">
        <v>40</v>
      </c>
      <c r="G19" s="57" t="s">
        <v>67</v>
      </c>
      <c r="H19" s="60">
        <v>8</v>
      </c>
      <c r="I19" s="59">
        <v>43769</v>
      </c>
    </row>
    <row r="20" spans="5:9">
      <c r="E20" s="57">
        <v>448</v>
      </c>
      <c r="F20" s="57" t="s">
        <v>92</v>
      </c>
      <c r="G20" s="57" t="s">
        <v>93</v>
      </c>
      <c r="H20" s="60">
        <v>7</v>
      </c>
      <c r="I20" s="59">
        <v>45884</v>
      </c>
    </row>
    <row r="21" spans="5:9">
      <c r="E21" s="57">
        <v>425</v>
      </c>
      <c r="F21" s="57" t="s">
        <v>108</v>
      </c>
      <c r="G21" s="57" t="s">
        <v>93</v>
      </c>
      <c r="H21" s="60">
        <v>7</v>
      </c>
      <c r="I21" s="59">
        <v>45782</v>
      </c>
    </row>
    <row r="22" spans="5:9">
      <c r="E22" s="57">
        <v>406</v>
      </c>
      <c r="F22" s="57" t="s">
        <v>106</v>
      </c>
      <c r="G22" s="57" t="s">
        <v>93</v>
      </c>
      <c r="H22" s="60">
        <v>7</v>
      </c>
      <c r="I22" s="59">
        <v>45741</v>
      </c>
    </row>
    <row r="23" spans="5:9">
      <c r="E23" s="57">
        <v>373</v>
      </c>
      <c r="F23" s="57" t="s">
        <v>94</v>
      </c>
      <c r="G23" s="57" t="s">
        <v>93</v>
      </c>
      <c r="H23" s="60">
        <v>7</v>
      </c>
      <c r="I23" s="59">
        <v>45549</v>
      </c>
    </row>
    <row r="24" spans="5:9">
      <c r="E24" s="57">
        <v>346</v>
      </c>
      <c r="F24" s="57" t="s">
        <v>80</v>
      </c>
      <c r="G24" s="57" t="s">
        <v>93</v>
      </c>
      <c r="H24" s="60">
        <v>7</v>
      </c>
      <c r="I24" s="59">
        <v>45433</v>
      </c>
    </row>
    <row r="25" spans="5:9">
      <c r="E25" s="57">
        <v>427</v>
      </c>
      <c r="F25" s="57" t="s">
        <v>109</v>
      </c>
      <c r="G25" s="57" t="s">
        <v>93</v>
      </c>
      <c r="H25" s="60">
        <v>7</v>
      </c>
      <c r="I25" s="59">
        <v>45783</v>
      </c>
    </row>
    <row r="26" spans="5:9">
      <c r="E26" s="57">
        <v>430</v>
      </c>
      <c r="F26" s="57" t="s">
        <v>112</v>
      </c>
      <c r="G26" s="57" t="s">
        <v>93</v>
      </c>
      <c r="H26" s="60">
        <v>7</v>
      </c>
      <c r="I26" s="59">
        <v>45797</v>
      </c>
    </row>
    <row r="27" spans="5:9">
      <c r="E27" s="57">
        <v>439</v>
      </c>
      <c r="F27" s="57" t="s">
        <v>116</v>
      </c>
      <c r="G27" s="57" t="s">
        <v>134</v>
      </c>
      <c r="H27" s="60">
        <v>6</v>
      </c>
      <c r="I27" s="59">
        <v>45828</v>
      </c>
    </row>
    <row r="28" spans="5:9">
      <c r="E28" s="57">
        <v>405</v>
      </c>
      <c r="F28" s="57" t="s">
        <v>105</v>
      </c>
      <c r="G28" s="57" t="s">
        <v>83</v>
      </c>
      <c r="H28" s="60">
        <v>5</v>
      </c>
      <c r="I28" s="59">
        <v>45726</v>
      </c>
    </row>
    <row r="29" spans="5:9">
      <c r="E29" s="57">
        <v>412</v>
      </c>
      <c r="F29" s="57" t="s">
        <v>107</v>
      </c>
      <c r="G29" s="57" t="s">
        <v>83</v>
      </c>
      <c r="H29" s="60">
        <v>5</v>
      </c>
      <c r="I29" s="59">
        <v>45755</v>
      </c>
    </row>
    <row r="30" spans="5:9">
      <c r="E30" s="57">
        <v>434</v>
      </c>
      <c r="F30" s="57" t="s">
        <v>114</v>
      </c>
      <c r="G30" s="57" t="s">
        <v>65</v>
      </c>
      <c r="H30" s="60">
        <v>3</v>
      </c>
      <c r="I30" s="59">
        <v>45820</v>
      </c>
    </row>
    <row r="31" spans="5:9">
      <c r="E31" s="57">
        <v>458</v>
      </c>
      <c r="F31" s="57" t="s">
        <v>142</v>
      </c>
      <c r="G31" s="57" t="s">
        <v>65</v>
      </c>
      <c r="H31" s="60">
        <v>3</v>
      </c>
      <c r="I31" s="59">
        <v>45944</v>
      </c>
    </row>
    <row r="32" spans="5:9">
      <c r="E32" s="57">
        <v>460</v>
      </c>
      <c r="F32" s="57" t="s">
        <v>144</v>
      </c>
      <c r="G32" s="57" t="s">
        <v>65</v>
      </c>
      <c r="H32" s="60">
        <v>3</v>
      </c>
      <c r="I32" s="59">
        <v>45954</v>
      </c>
    </row>
    <row r="33" spans="5:9">
      <c r="E33" s="57" t="s">
        <v>123</v>
      </c>
      <c r="F33" s="57" t="s">
        <v>126</v>
      </c>
      <c r="G33" s="57" t="s">
        <v>123</v>
      </c>
      <c r="H33" s="60" t="s">
        <v>123</v>
      </c>
      <c r="I33" s="59" t="s">
        <v>123</v>
      </c>
    </row>
    <row r="34" spans="5:9">
      <c r="E34" s="57">
        <v>43</v>
      </c>
      <c r="F34" s="57" t="s">
        <v>30</v>
      </c>
      <c r="G34" s="57" t="s">
        <v>113</v>
      </c>
      <c r="H34" s="60">
        <v>10</v>
      </c>
      <c r="I34" s="59">
        <v>42103</v>
      </c>
    </row>
    <row r="35" spans="5:9">
      <c r="E35" s="57">
        <v>428</v>
      </c>
      <c r="F35" s="57" t="s">
        <v>110</v>
      </c>
      <c r="G35" s="57" t="s">
        <v>111</v>
      </c>
      <c r="H35" s="60">
        <v>6</v>
      </c>
      <c r="I35" s="59">
        <v>45794</v>
      </c>
    </row>
    <row r="36" spans="5:9">
      <c r="E36" s="57">
        <v>398</v>
      </c>
      <c r="F36" s="57" t="s">
        <v>100</v>
      </c>
      <c r="G36" s="57" t="s">
        <v>86</v>
      </c>
      <c r="H36" s="60">
        <v>4</v>
      </c>
      <c r="I36" s="59">
        <v>45667</v>
      </c>
    </row>
    <row r="37" spans="5:9">
      <c r="E37" s="57">
        <v>459</v>
      </c>
      <c r="F37" s="57" t="s">
        <v>143</v>
      </c>
      <c r="G37" s="57" t="s">
        <v>86</v>
      </c>
      <c r="H37" s="60">
        <v>4</v>
      </c>
      <c r="I37" s="59">
        <v>45957</v>
      </c>
    </row>
    <row r="38" spans="5:9">
      <c r="E38" s="57" t="s">
        <v>123</v>
      </c>
      <c r="F38" s="58" t="s">
        <v>127</v>
      </c>
      <c r="G38" s="57" t="s">
        <v>123</v>
      </c>
      <c r="H38" s="60" t="s">
        <v>123</v>
      </c>
      <c r="I38" s="59" t="s">
        <v>123</v>
      </c>
    </row>
    <row r="39" spans="5:9">
      <c r="E39" s="57">
        <v>13</v>
      </c>
      <c r="F39" s="57" t="s">
        <v>29</v>
      </c>
      <c r="G39" s="57" t="s">
        <v>48</v>
      </c>
      <c r="H39" s="60">
        <v>25</v>
      </c>
      <c r="I39" s="59">
        <v>41990</v>
      </c>
    </row>
    <row r="40" spans="5:9">
      <c r="E40" s="57" t="s">
        <v>123</v>
      </c>
      <c r="F40" s="58" t="s">
        <v>128</v>
      </c>
      <c r="G40" s="57" t="s">
        <v>123</v>
      </c>
      <c r="H40" s="60" t="s">
        <v>123</v>
      </c>
      <c r="I40" s="59" t="s">
        <v>123</v>
      </c>
    </row>
    <row r="41" spans="5:9">
      <c r="E41" s="57">
        <v>84</v>
      </c>
      <c r="F41" s="57" t="s">
        <v>33</v>
      </c>
      <c r="G41" s="57" t="s">
        <v>50</v>
      </c>
      <c r="H41" s="60">
        <v>4</v>
      </c>
      <c r="I41" s="59">
        <v>42676</v>
      </c>
    </row>
    <row r="42" spans="5:9">
      <c r="E42" s="57">
        <v>272</v>
      </c>
      <c r="F42" s="57" t="s">
        <v>62</v>
      </c>
      <c r="G42" s="57" t="s">
        <v>50</v>
      </c>
      <c r="H42" s="60">
        <v>4</v>
      </c>
      <c r="I42" s="59">
        <v>45008</v>
      </c>
    </row>
    <row r="43" spans="5:9">
      <c r="E43" s="57">
        <v>461</v>
      </c>
      <c r="F43" s="57" t="s">
        <v>145</v>
      </c>
      <c r="G43" s="57" t="s">
        <v>147</v>
      </c>
      <c r="H43" s="60">
        <v>2</v>
      </c>
      <c r="I43" s="59">
        <v>45954</v>
      </c>
    </row>
    <row r="46" spans="5:9">
      <c r="E46" s="57" t="s">
        <v>123</v>
      </c>
      <c r="F46" s="58" t="s">
        <v>129</v>
      </c>
      <c r="G46" s="57" t="s">
        <v>22</v>
      </c>
      <c r="H46" s="60" t="s">
        <v>152</v>
      </c>
      <c r="I46" s="59" t="s">
        <v>76</v>
      </c>
    </row>
    <row r="47" spans="5:9">
      <c r="E47" s="57">
        <v>256</v>
      </c>
      <c r="F47" s="57" t="s">
        <v>46</v>
      </c>
      <c r="G47" s="57" t="s">
        <v>81</v>
      </c>
      <c r="H47" s="60">
        <v>12</v>
      </c>
      <c r="I47" s="59">
        <v>44858</v>
      </c>
    </row>
    <row r="48" spans="5:9">
      <c r="E48" s="57">
        <v>187</v>
      </c>
      <c r="F48" s="57" t="s">
        <v>37</v>
      </c>
      <c r="G48" s="57" t="s">
        <v>52</v>
      </c>
      <c r="H48" s="60">
        <v>10</v>
      </c>
      <c r="I48" s="59">
        <v>43770</v>
      </c>
    </row>
    <row r="49" spans="5:9">
      <c r="E49" s="57">
        <v>402</v>
      </c>
      <c r="F49" s="57" t="s">
        <v>103</v>
      </c>
      <c r="G49" s="57" t="s">
        <v>84</v>
      </c>
      <c r="H49" s="60">
        <v>7</v>
      </c>
      <c r="I49" s="59">
        <v>45712</v>
      </c>
    </row>
    <row r="50" spans="5:9">
      <c r="E50" s="57">
        <v>372</v>
      </c>
      <c r="F50" s="57" t="s">
        <v>89</v>
      </c>
      <c r="G50" s="57" t="s">
        <v>84</v>
      </c>
      <c r="H50" s="60">
        <v>7</v>
      </c>
      <c r="I50" s="59">
        <v>45543</v>
      </c>
    </row>
    <row r="51" spans="5:9">
      <c r="E51" s="57" t="s">
        <v>123</v>
      </c>
      <c r="F51" s="57" t="s">
        <v>130</v>
      </c>
      <c r="G51" s="57" t="s">
        <v>123</v>
      </c>
      <c r="H51" s="60" t="s">
        <v>123</v>
      </c>
      <c r="I51" s="59" t="s">
        <v>123</v>
      </c>
    </row>
    <row r="52" spans="5:9">
      <c r="E52" s="57">
        <v>174</v>
      </c>
      <c r="F52" s="57" t="s">
        <v>31</v>
      </c>
      <c r="G52" s="57" t="s">
        <v>58</v>
      </c>
      <c r="H52" s="60">
        <v>14</v>
      </c>
      <c r="I52" s="59">
        <v>43599</v>
      </c>
    </row>
    <row r="53" spans="5:9">
      <c r="E53" s="57">
        <v>186</v>
      </c>
      <c r="F53" s="57" t="s">
        <v>26</v>
      </c>
      <c r="G53" s="57" t="s">
        <v>51</v>
      </c>
      <c r="H53" s="60">
        <v>8</v>
      </c>
      <c r="I53" s="59">
        <v>43774</v>
      </c>
    </row>
    <row r="54" spans="5:9">
      <c r="E54" s="57">
        <v>259</v>
      </c>
      <c r="F54" s="57" t="s">
        <v>47</v>
      </c>
      <c r="G54" s="57" t="s">
        <v>51</v>
      </c>
      <c r="H54" s="60">
        <v>8</v>
      </c>
      <c r="I54" s="59">
        <v>44871</v>
      </c>
    </row>
    <row r="55" spans="5:9">
      <c r="E55" s="57">
        <v>370</v>
      </c>
      <c r="F55" s="57" t="s">
        <v>88</v>
      </c>
      <c r="G55" s="57" t="s">
        <v>51</v>
      </c>
      <c r="H55" s="60">
        <v>8</v>
      </c>
      <c r="I55" s="59">
        <v>45546</v>
      </c>
    </row>
    <row r="56" spans="5:9">
      <c r="E56" s="57">
        <v>321</v>
      </c>
      <c r="F56" s="57" t="s">
        <v>77</v>
      </c>
      <c r="G56" s="57" t="s">
        <v>51</v>
      </c>
      <c r="H56" s="60">
        <v>8</v>
      </c>
      <c r="I56" s="59">
        <v>45340</v>
      </c>
    </row>
    <row r="57" spans="5:9">
      <c r="E57" s="57">
        <v>369</v>
      </c>
      <c r="F57" s="57" t="s">
        <v>87</v>
      </c>
      <c r="G57" s="57" t="s">
        <v>51</v>
      </c>
      <c r="H57" s="60">
        <v>8</v>
      </c>
      <c r="I57" s="59">
        <v>45540</v>
      </c>
    </row>
    <row r="58" spans="5:9">
      <c r="E58" s="57">
        <v>247</v>
      </c>
      <c r="F58" s="57" t="s">
        <v>57</v>
      </c>
      <c r="G58" s="57" t="s">
        <v>104</v>
      </c>
      <c r="H58" s="60">
        <v>7</v>
      </c>
      <c r="I58" s="59">
        <v>44761</v>
      </c>
    </row>
    <row r="59" spans="5:9">
      <c r="E59" s="57">
        <v>229</v>
      </c>
      <c r="F59" s="57" t="s">
        <v>44</v>
      </c>
      <c r="G59" s="57" t="s">
        <v>104</v>
      </c>
      <c r="H59" s="60">
        <v>7</v>
      </c>
      <c r="I59" s="59">
        <v>44590</v>
      </c>
    </row>
    <row r="60" spans="5:9">
      <c r="E60" s="57">
        <v>311</v>
      </c>
      <c r="F60" s="57" t="s">
        <v>75</v>
      </c>
      <c r="G60" s="57" t="s">
        <v>98</v>
      </c>
      <c r="H60" s="60">
        <v>7</v>
      </c>
      <c r="I60" s="59">
        <v>45292</v>
      </c>
    </row>
    <row r="61" spans="5:9">
      <c r="E61" s="57">
        <v>374</v>
      </c>
      <c r="F61" s="57" t="s">
        <v>90</v>
      </c>
      <c r="G61" s="57" t="s">
        <v>91</v>
      </c>
      <c r="H61" s="60">
        <v>6</v>
      </c>
      <c r="I61" s="59">
        <v>45548</v>
      </c>
    </row>
    <row r="62" spans="5:9">
      <c r="E62" s="57">
        <v>331</v>
      </c>
      <c r="F62" s="57" t="s">
        <v>78</v>
      </c>
      <c r="G62" s="57" t="s">
        <v>146</v>
      </c>
      <c r="H62" s="60">
        <v>6</v>
      </c>
      <c r="I62" s="59">
        <v>45412</v>
      </c>
    </row>
    <row r="63" spans="5:9">
      <c r="E63" s="57">
        <v>457</v>
      </c>
      <c r="F63" s="57" t="s">
        <v>141</v>
      </c>
      <c r="G63" s="57" t="s">
        <v>136</v>
      </c>
      <c r="H63" s="60">
        <v>4</v>
      </c>
      <c r="I63" s="59">
        <v>45946</v>
      </c>
    </row>
    <row r="64" spans="5:9">
      <c r="E64" s="57">
        <v>445</v>
      </c>
      <c r="F64" s="57" t="s">
        <v>119</v>
      </c>
      <c r="G64" s="57" t="s">
        <v>99</v>
      </c>
      <c r="H64" s="60">
        <v>4</v>
      </c>
      <c r="I64" s="59">
        <v>45880</v>
      </c>
    </row>
    <row r="65" spans="5:9">
      <c r="E65" s="57">
        <v>449</v>
      </c>
      <c r="F65" s="57" t="s">
        <v>135</v>
      </c>
      <c r="G65" s="57" t="s">
        <v>136</v>
      </c>
      <c r="H65" s="60">
        <v>4</v>
      </c>
      <c r="I65" s="59">
        <v>45901</v>
      </c>
    </row>
    <row r="66" spans="5:9">
      <c r="E66" s="57">
        <v>399</v>
      </c>
      <c r="F66" s="57" t="s">
        <v>101</v>
      </c>
      <c r="G66" s="57" t="s">
        <v>102</v>
      </c>
      <c r="H66" s="60">
        <v>2</v>
      </c>
      <c r="I66" s="59">
        <v>45659</v>
      </c>
    </row>
    <row r="67" spans="5:9">
      <c r="E67" s="57">
        <v>464</v>
      </c>
      <c r="F67" s="57" t="s">
        <v>148</v>
      </c>
      <c r="G67" s="57" t="s">
        <v>102</v>
      </c>
      <c r="H67" s="60">
        <v>2</v>
      </c>
      <c r="I67" s="59">
        <v>45963</v>
      </c>
    </row>
    <row r="68" spans="5:9">
      <c r="E68" s="57" t="s">
        <v>123</v>
      </c>
      <c r="F68" s="57" t="s">
        <v>131</v>
      </c>
      <c r="G68" s="57" t="s">
        <v>123</v>
      </c>
      <c r="H68" s="60" t="s">
        <v>123</v>
      </c>
      <c r="I68" s="59" t="s">
        <v>123</v>
      </c>
    </row>
    <row r="69" spans="5:9">
      <c r="E69" s="57">
        <v>253</v>
      </c>
      <c r="F69" s="57" t="s">
        <v>45</v>
      </c>
      <c r="G69" s="57" t="s">
        <v>54</v>
      </c>
      <c r="H69" s="60">
        <v>4</v>
      </c>
      <c r="I69" s="59">
        <v>44818</v>
      </c>
    </row>
    <row r="70" spans="5:9">
      <c r="E70" s="57">
        <v>203</v>
      </c>
      <c r="F70" s="57" t="s">
        <v>42</v>
      </c>
      <c r="G70" s="57" t="s">
        <v>54</v>
      </c>
      <c r="H70" s="60">
        <v>4</v>
      </c>
      <c r="I70" s="59">
        <v>44147</v>
      </c>
    </row>
    <row r="71" spans="5:9">
      <c r="E71" s="57">
        <v>436</v>
      </c>
      <c r="F71" s="57" t="s">
        <v>115</v>
      </c>
      <c r="G71" s="57" t="s">
        <v>55</v>
      </c>
      <c r="H71" s="60">
        <v>2</v>
      </c>
      <c r="I71" s="59">
        <v>45826</v>
      </c>
    </row>
    <row r="72" spans="5:9">
      <c r="E72" s="57">
        <v>452</v>
      </c>
      <c r="F72" s="57" t="s">
        <v>138</v>
      </c>
      <c r="G72" s="57" t="s">
        <v>55</v>
      </c>
      <c r="H72" s="60">
        <v>2</v>
      </c>
      <c r="I72" s="59">
        <v>45910</v>
      </c>
    </row>
    <row r="73" spans="5:9">
      <c r="E73" s="57">
        <v>446</v>
      </c>
      <c r="F73" s="57" t="s">
        <v>120</v>
      </c>
      <c r="G73" s="57" t="s">
        <v>55</v>
      </c>
      <c r="H73" s="60">
        <v>2</v>
      </c>
      <c r="I73" s="59">
        <v>45882</v>
      </c>
    </row>
    <row r="74" spans="5:9">
      <c r="E74" s="57">
        <v>465</v>
      </c>
      <c r="F74" s="57" t="s">
        <v>149</v>
      </c>
      <c r="G74" s="57" t="s">
        <v>55</v>
      </c>
      <c r="H74" s="60">
        <v>2</v>
      </c>
      <c r="I74" s="59">
        <v>45975</v>
      </c>
    </row>
    <row r="75" spans="5:9">
      <c r="E75" s="57">
        <v>358</v>
      </c>
      <c r="F75" s="57" t="s">
        <v>85</v>
      </c>
      <c r="G75" s="57" t="s">
        <v>55</v>
      </c>
      <c r="H75" s="60">
        <v>2</v>
      </c>
      <c r="I75" s="59">
        <v>45483</v>
      </c>
    </row>
    <row r="76" spans="5:9">
      <c r="E76" s="57">
        <v>455</v>
      </c>
      <c r="F76" s="57" t="s">
        <v>140</v>
      </c>
      <c r="G76" s="57" t="s">
        <v>55</v>
      </c>
      <c r="H76" s="60">
        <v>2</v>
      </c>
      <c r="I76" s="59">
        <v>45916</v>
      </c>
    </row>
    <row r="77" spans="5:9">
      <c r="E77" s="57">
        <v>388</v>
      </c>
      <c r="F77" s="57" t="s">
        <v>96</v>
      </c>
      <c r="G77" s="57" t="s">
        <v>55</v>
      </c>
      <c r="H77" s="60">
        <v>2</v>
      </c>
      <c r="I77" s="59">
        <v>45613</v>
      </c>
    </row>
    <row r="78" spans="5:9">
      <c r="E78" s="57" t="s">
        <v>123</v>
      </c>
      <c r="F78" s="57" t="s">
        <v>132</v>
      </c>
      <c r="G78" s="57" t="s">
        <v>123</v>
      </c>
      <c r="H78" s="60" t="s">
        <v>123</v>
      </c>
      <c r="I78" s="59" t="s">
        <v>123</v>
      </c>
    </row>
    <row r="79" spans="5:9">
      <c r="E79" s="57">
        <v>54</v>
      </c>
      <c r="F79" s="57" t="s">
        <v>25</v>
      </c>
      <c r="G79" s="57" t="s">
        <v>49</v>
      </c>
      <c r="H79" s="60">
        <v>25</v>
      </c>
      <c r="I79" s="59">
        <v>42278</v>
      </c>
    </row>
    <row r="80" spans="5:9">
      <c r="E80" s="57">
        <v>386</v>
      </c>
      <c r="F80" s="57" t="s">
        <v>95</v>
      </c>
      <c r="G80" s="57" t="s">
        <v>118</v>
      </c>
      <c r="H80" s="60">
        <v>16</v>
      </c>
      <c r="I80" s="59">
        <v>45613</v>
      </c>
    </row>
    <row r="81" spans="5:9">
      <c r="E81" s="57">
        <v>198</v>
      </c>
      <c r="F81" s="57" t="s">
        <v>24</v>
      </c>
      <c r="G81" s="57" t="s">
        <v>53</v>
      </c>
      <c r="H81" s="60">
        <v>3</v>
      </c>
      <c r="I81" s="59">
        <v>44070</v>
      </c>
    </row>
  </sheetData>
  <sortState ref="E52:I67">
    <sortCondition descending="1" ref="H52:H67"/>
  </sortState>
  <phoneticPr fontId="30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3</vt:i4>
      </vt:variant>
    </vt:vector>
  </HeadingPairs>
  <TitlesOfParts>
    <vt:vector size="8" baseType="lpstr">
      <vt:lpstr>Hora extra</vt:lpstr>
      <vt:lpstr>Comissão Salao</vt:lpstr>
      <vt:lpstr>Comissão Cozinha</vt:lpstr>
      <vt:lpstr>Ver se estão todos na comissão</vt:lpstr>
      <vt:lpstr>Planilha1</vt:lpstr>
      <vt:lpstr>'Comissão Cozinha'!Area_de_impressao</vt:lpstr>
      <vt:lpstr>'Comissão Salao'!Area_de_impressao</vt:lpstr>
      <vt:lpstr>'Hora extra'!Area_de_impressao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</dc:creator>
  <cp:lastModifiedBy>user</cp:lastModifiedBy>
  <cp:lastPrinted>2026-07-02T21:34:58Z</cp:lastPrinted>
  <dcterms:created xsi:type="dcterms:W3CDTF">2018-07-01T23:40:48Z</dcterms:created>
  <dcterms:modified xsi:type="dcterms:W3CDTF">2026-07-02T21:35:53Z</dcterms:modified>
</cp:coreProperties>
</file>